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nd - End\Excel\Department × Tenure Band\"/>
    </mc:Choice>
  </mc:AlternateContent>
  <xr:revisionPtr revIDLastSave="0" documentId="13_ncr:1_{762BFF07-628C-4D01-9F22-DE0E9890033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Department × Tenure Band" sheetId="2" r:id="rId2"/>
  </sheets>
  <calcPr calcId="18102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2" i="1"/>
  <c r="G2" i="1" s="1"/>
</calcChain>
</file>

<file path=xl/sharedStrings.xml><?xml version="1.0" encoding="utf-8"?>
<sst xmlns="http://schemas.openxmlformats.org/spreadsheetml/2006/main" count="2441" uniqueCount="28">
  <si>
    <t>EmployeeID</t>
  </si>
  <si>
    <t>DepartmentName</t>
  </si>
  <si>
    <t>HireDate</t>
  </si>
  <si>
    <t>Attrition</t>
  </si>
  <si>
    <t>ExitDate</t>
  </si>
  <si>
    <t>Engineering</t>
  </si>
  <si>
    <t>Yes</t>
  </si>
  <si>
    <t>No</t>
  </si>
  <si>
    <t>NULL</t>
  </si>
  <si>
    <t>Product</t>
  </si>
  <si>
    <t>Design</t>
  </si>
  <si>
    <t>Sales</t>
  </si>
  <si>
    <t>Marketing</t>
  </si>
  <si>
    <t>Customer Success</t>
  </si>
  <si>
    <t>Operations</t>
  </si>
  <si>
    <t>People</t>
  </si>
  <si>
    <t>Finance</t>
  </si>
  <si>
    <t>TenureMonths</t>
  </si>
  <si>
    <t>Tenure Band</t>
  </si>
  <si>
    <t>IsLeaver</t>
  </si>
  <si>
    <t>Row Labels</t>
  </si>
  <si>
    <t>Grand Total</t>
  </si>
  <si>
    <t>Column Labels</t>
  </si>
  <si>
    <t>1. &lt;1yr</t>
  </si>
  <si>
    <t>2. 1-3yr</t>
  </si>
  <si>
    <t>3. 3-5yr</t>
  </si>
  <si>
    <t>4. 5+yr</t>
  </si>
  <si>
    <t>Average of IsLeaver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</si>
</sst>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n kartik" refreshedDate="46247.803632407406" createdVersion="7" refreshedVersion="7" minRefreshableVersion="3" recordCount="865" xr:uid="{00000000-000A-0000-FFFF-FFFF03000000}">
  <cacheSource type="worksheet">
    <worksheetSource ref="A1:H866" sheet="Data"/>
  </cacheSource>
  <cacheFields count="8">
    <cacheField name="EmployeeID" numFmtId="0">
      <sharedItems containsSemiMixedTypes="0" containsString="0" containsNumber="1" containsInteger="1" minValue="1001" maxValue="1865"/>
    </cacheField>
    <cacheField name="DepartmentName" numFmtId="0">
      <sharedItems count="9">
        <s v="Engineering"/>
        <s v="Product"/>
        <s v="Design"/>
        <s v="Sales"/>
        <s v="Marketing"/>
        <s v="Customer Success"/>
        <s v="Operations"/>
        <s v="People"/>
        <s v="Finance"/>
      </sharedItems>
    </cacheField>
    <cacheField name="HireDate" numFmtId="14">
      <sharedItems containsSemiMixedTypes="0" containsNonDate="0" containsDate="1" containsString="0" minDate="2019-08-01T00:00:00" maxDate="2026-07-21T00:00:00"/>
    </cacheField>
    <cacheField name="Attrition" numFmtId="0">
      <sharedItems/>
    </cacheField>
    <cacheField name="ExitDate" numFmtId="0">
      <sharedItems containsDate="1" containsMixedTypes="1" minDate="2022-06-27T00:00:00" maxDate="2026-08-19T00:00:00"/>
    </cacheField>
    <cacheField name="TenureMonths" numFmtId="0">
      <sharedItems containsSemiMixedTypes="0" containsString="0" containsNumber="1" containsInteger="1" minValue="0" maxValue="84"/>
    </cacheField>
    <cacheField name="Tenure Band" numFmtId="0">
      <sharedItems count="4">
        <s v="1. &lt;1yr"/>
        <s v="4. 5+yr"/>
        <s v="2. 1-3yr"/>
        <s v="3. 3-5yr"/>
      </sharedItems>
    </cacheField>
    <cacheField name="IsLeav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5">
  <r>
    <n v="1008"/>
    <x v="0"/>
    <d v="2026-03-30T00:00:00"/>
    <s v="Yes"/>
    <d v="2026-04-29T00:00:00"/>
    <n v="0"/>
    <x v="0"/>
    <n v="1"/>
  </r>
  <r>
    <n v="1010"/>
    <x v="0"/>
    <d v="2019-11-11T00:00:00"/>
    <s v="No"/>
    <s v="NULL"/>
    <n v="81"/>
    <x v="1"/>
    <n v="0"/>
  </r>
  <r>
    <n v="1013"/>
    <x v="0"/>
    <d v="2026-03-29T00:00:00"/>
    <s v="No"/>
    <s v="NULL"/>
    <n v="4"/>
    <x v="0"/>
    <n v="0"/>
  </r>
  <r>
    <n v="1016"/>
    <x v="0"/>
    <d v="2021-11-25T00:00:00"/>
    <s v="Yes"/>
    <d v="2024-02-20T00:00:00"/>
    <n v="26"/>
    <x v="2"/>
    <n v="1"/>
  </r>
  <r>
    <n v="1017"/>
    <x v="0"/>
    <d v="2025-11-17T00:00:00"/>
    <s v="No"/>
    <s v="NULL"/>
    <n v="8"/>
    <x v="0"/>
    <n v="0"/>
  </r>
  <r>
    <n v="1022"/>
    <x v="0"/>
    <d v="2025-08-16T00:00:00"/>
    <s v="No"/>
    <s v="NULL"/>
    <n v="11"/>
    <x v="0"/>
    <n v="0"/>
  </r>
  <r>
    <n v="1023"/>
    <x v="0"/>
    <d v="2022-08-08T00:00:00"/>
    <s v="No"/>
    <s v="NULL"/>
    <n v="48"/>
    <x v="3"/>
    <n v="0"/>
  </r>
  <r>
    <n v="1024"/>
    <x v="0"/>
    <d v="2023-11-05T00:00:00"/>
    <s v="Yes"/>
    <d v="2025-11-20T00:00:00"/>
    <n v="24"/>
    <x v="2"/>
    <n v="1"/>
  </r>
  <r>
    <n v="1029"/>
    <x v="0"/>
    <d v="2025-04-19T00:00:00"/>
    <s v="Yes"/>
    <d v="2026-01-12T00:00:00"/>
    <n v="8"/>
    <x v="0"/>
    <n v="1"/>
  </r>
  <r>
    <n v="1030"/>
    <x v="0"/>
    <d v="2021-09-06T00:00:00"/>
    <s v="No"/>
    <s v="NULL"/>
    <n v="59"/>
    <x v="3"/>
    <n v="0"/>
  </r>
  <r>
    <n v="1031"/>
    <x v="0"/>
    <d v="2025-07-06T00:00:00"/>
    <s v="No"/>
    <s v="NULL"/>
    <n v="13"/>
    <x v="2"/>
    <n v="0"/>
  </r>
  <r>
    <n v="1032"/>
    <x v="0"/>
    <d v="2025-04-29T00:00:00"/>
    <s v="Yes"/>
    <d v="2025-11-27T00:00:00"/>
    <n v="6"/>
    <x v="0"/>
    <n v="1"/>
  </r>
  <r>
    <n v="1034"/>
    <x v="0"/>
    <d v="2024-03-04T00:00:00"/>
    <s v="No"/>
    <s v="NULL"/>
    <n v="29"/>
    <x v="2"/>
    <n v="0"/>
  </r>
  <r>
    <n v="1037"/>
    <x v="0"/>
    <d v="2023-12-03T00:00:00"/>
    <s v="No"/>
    <s v="NULL"/>
    <n v="32"/>
    <x v="2"/>
    <n v="0"/>
  </r>
  <r>
    <n v="1038"/>
    <x v="0"/>
    <d v="2022-11-03T00:00:00"/>
    <s v="No"/>
    <s v="NULL"/>
    <n v="45"/>
    <x v="3"/>
    <n v="0"/>
  </r>
  <r>
    <n v="1040"/>
    <x v="0"/>
    <d v="2025-05-27T00:00:00"/>
    <s v="No"/>
    <s v="NULL"/>
    <n v="14"/>
    <x v="2"/>
    <n v="0"/>
  </r>
  <r>
    <n v="1042"/>
    <x v="0"/>
    <d v="2025-12-18T00:00:00"/>
    <s v="No"/>
    <s v="NULL"/>
    <n v="7"/>
    <x v="0"/>
    <n v="0"/>
  </r>
  <r>
    <n v="1047"/>
    <x v="0"/>
    <d v="2026-01-29T00:00:00"/>
    <s v="No"/>
    <s v="NULL"/>
    <n v="6"/>
    <x v="0"/>
    <n v="0"/>
  </r>
  <r>
    <n v="1053"/>
    <x v="0"/>
    <d v="2026-05-10T00:00:00"/>
    <s v="Yes"/>
    <d v="2026-06-09T00:00:00"/>
    <n v="0"/>
    <x v="0"/>
    <n v="1"/>
  </r>
  <r>
    <n v="1060"/>
    <x v="0"/>
    <d v="2020-07-30T00:00:00"/>
    <s v="No"/>
    <s v="NULL"/>
    <n v="72"/>
    <x v="1"/>
    <n v="0"/>
  </r>
  <r>
    <n v="1061"/>
    <x v="0"/>
    <d v="2025-06-27T00:00:00"/>
    <s v="Yes"/>
    <d v="2026-04-13T00:00:00"/>
    <n v="9"/>
    <x v="0"/>
    <n v="1"/>
  </r>
  <r>
    <n v="1070"/>
    <x v="0"/>
    <d v="2025-01-24T00:00:00"/>
    <s v="No"/>
    <s v="NULL"/>
    <n v="18"/>
    <x v="2"/>
    <n v="0"/>
  </r>
  <r>
    <n v="1079"/>
    <x v="0"/>
    <d v="2024-08-13T00:00:00"/>
    <s v="Yes"/>
    <d v="2025-04-14T00:00:00"/>
    <n v="8"/>
    <x v="0"/>
    <n v="1"/>
  </r>
  <r>
    <n v="1081"/>
    <x v="0"/>
    <d v="2024-11-14T00:00:00"/>
    <s v="No"/>
    <s v="NULL"/>
    <n v="20"/>
    <x v="2"/>
    <n v="0"/>
  </r>
  <r>
    <n v="1083"/>
    <x v="0"/>
    <d v="2024-06-26T00:00:00"/>
    <s v="No"/>
    <s v="NULL"/>
    <n v="25"/>
    <x v="2"/>
    <n v="0"/>
  </r>
  <r>
    <n v="1084"/>
    <x v="0"/>
    <d v="2019-11-12T00:00:00"/>
    <s v="No"/>
    <s v="NULL"/>
    <n v="81"/>
    <x v="1"/>
    <n v="0"/>
  </r>
  <r>
    <n v="1089"/>
    <x v="0"/>
    <d v="2024-06-02T00:00:00"/>
    <s v="No"/>
    <s v="NULL"/>
    <n v="26"/>
    <x v="2"/>
    <n v="0"/>
  </r>
  <r>
    <n v="1098"/>
    <x v="0"/>
    <d v="2024-12-13T00:00:00"/>
    <s v="No"/>
    <s v="NULL"/>
    <n v="20"/>
    <x v="2"/>
    <n v="0"/>
  </r>
  <r>
    <n v="1100"/>
    <x v="0"/>
    <d v="2021-10-06T00:00:00"/>
    <s v="No"/>
    <s v="NULL"/>
    <n v="58"/>
    <x v="3"/>
    <n v="0"/>
  </r>
  <r>
    <n v="1101"/>
    <x v="0"/>
    <d v="2026-05-23T00:00:00"/>
    <s v="No"/>
    <s v="NULL"/>
    <n v="2"/>
    <x v="0"/>
    <n v="0"/>
  </r>
  <r>
    <n v="1104"/>
    <x v="0"/>
    <d v="2021-05-20T00:00:00"/>
    <s v="No"/>
    <s v="NULL"/>
    <n v="62"/>
    <x v="1"/>
    <n v="0"/>
  </r>
  <r>
    <n v="1105"/>
    <x v="0"/>
    <d v="2022-07-23T00:00:00"/>
    <s v="No"/>
    <s v="NULL"/>
    <n v="48"/>
    <x v="3"/>
    <n v="0"/>
  </r>
  <r>
    <n v="1106"/>
    <x v="0"/>
    <d v="2023-04-05T00:00:00"/>
    <s v="No"/>
    <s v="NULL"/>
    <n v="40"/>
    <x v="3"/>
    <n v="0"/>
  </r>
  <r>
    <n v="1107"/>
    <x v="0"/>
    <d v="2022-09-23T00:00:00"/>
    <s v="No"/>
    <s v="NULL"/>
    <n v="46"/>
    <x v="3"/>
    <n v="0"/>
  </r>
  <r>
    <n v="1109"/>
    <x v="0"/>
    <d v="2024-08-21T00:00:00"/>
    <s v="No"/>
    <s v="NULL"/>
    <n v="23"/>
    <x v="2"/>
    <n v="0"/>
  </r>
  <r>
    <n v="1111"/>
    <x v="0"/>
    <d v="2025-11-03T00:00:00"/>
    <s v="Yes"/>
    <d v="2025-12-03T00:00:00"/>
    <n v="1"/>
    <x v="0"/>
    <n v="1"/>
  </r>
  <r>
    <n v="1116"/>
    <x v="0"/>
    <d v="2025-04-05T00:00:00"/>
    <s v="Yes"/>
    <d v="2026-04-06T00:00:00"/>
    <n v="12"/>
    <x v="2"/>
    <n v="1"/>
  </r>
  <r>
    <n v="1118"/>
    <x v="0"/>
    <d v="2025-08-30T00:00:00"/>
    <s v="No"/>
    <s v="NULL"/>
    <n v="11"/>
    <x v="0"/>
    <n v="0"/>
  </r>
  <r>
    <n v="1119"/>
    <x v="0"/>
    <d v="2020-01-03T00:00:00"/>
    <s v="No"/>
    <s v="NULL"/>
    <n v="79"/>
    <x v="1"/>
    <n v="0"/>
  </r>
  <r>
    <n v="1120"/>
    <x v="0"/>
    <d v="2022-09-01T00:00:00"/>
    <s v="No"/>
    <s v="NULL"/>
    <n v="47"/>
    <x v="3"/>
    <n v="0"/>
  </r>
  <r>
    <n v="1121"/>
    <x v="0"/>
    <d v="2023-09-15T00:00:00"/>
    <s v="Yes"/>
    <d v="2025-06-10T00:00:00"/>
    <n v="20"/>
    <x v="2"/>
    <n v="1"/>
  </r>
  <r>
    <n v="1123"/>
    <x v="0"/>
    <d v="2026-06-29T00:00:00"/>
    <s v="No"/>
    <s v="NULL"/>
    <n v="1"/>
    <x v="0"/>
    <n v="0"/>
  </r>
  <r>
    <n v="1128"/>
    <x v="0"/>
    <d v="2022-03-03T00:00:00"/>
    <s v="No"/>
    <s v="NULL"/>
    <n v="53"/>
    <x v="3"/>
    <n v="0"/>
  </r>
  <r>
    <n v="1137"/>
    <x v="0"/>
    <d v="2020-11-17T00:00:00"/>
    <s v="No"/>
    <s v="NULL"/>
    <n v="68"/>
    <x v="1"/>
    <n v="0"/>
  </r>
  <r>
    <n v="1142"/>
    <x v="0"/>
    <d v="2025-08-23T00:00:00"/>
    <s v="No"/>
    <s v="NULL"/>
    <n v="11"/>
    <x v="0"/>
    <n v="0"/>
  </r>
  <r>
    <n v="1146"/>
    <x v="0"/>
    <d v="2020-01-25T00:00:00"/>
    <s v="No"/>
    <s v="NULL"/>
    <n v="78"/>
    <x v="1"/>
    <n v="0"/>
  </r>
  <r>
    <n v="1154"/>
    <x v="0"/>
    <d v="2022-11-22T00:00:00"/>
    <s v="No"/>
    <s v="NULL"/>
    <n v="44"/>
    <x v="3"/>
    <n v="0"/>
  </r>
  <r>
    <n v="1157"/>
    <x v="0"/>
    <d v="2026-06-04T00:00:00"/>
    <s v="Yes"/>
    <d v="2026-07-04T00:00:00"/>
    <n v="1"/>
    <x v="0"/>
    <n v="1"/>
  </r>
  <r>
    <n v="1160"/>
    <x v="0"/>
    <d v="2022-03-28T00:00:00"/>
    <s v="No"/>
    <s v="NULL"/>
    <n v="52"/>
    <x v="3"/>
    <n v="0"/>
  </r>
  <r>
    <n v="1164"/>
    <x v="0"/>
    <d v="2022-08-30T00:00:00"/>
    <s v="Yes"/>
    <d v="2025-01-15T00:00:00"/>
    <n v="28"/>
    <x v="2"/>
    <n v="1"/>
  </r>
  <r>
    <n v="1167"/>
    <x v="0"/>
    <d v="2024-01-12T00:00:00"/>
    <s v="Yes"/>
    <d v="2025-08-12T00:00:00"/>
    <n v="19"/>
    <x v="2"/>
    <n v="1"/>
  </r>
  <r>
    <n v="1168"/>
    <x v="0"/>
    <d v="2025-04-08T00:00:00"/>
    <s v="No"/>
    <s v="NULL"/>
    <n v="16"/>
    <x v="2"/>
    <n v="0"/>
  </r>
  <r>
    <n v="1170"/>
    <x v="0"/>
    <d v="2023-04-25T00:00:00"/>
    <s v="No"/>
    <s v="NULL"/>
    <n v="39"/>
    <x v="3"/>
    <n v="0"/>
  </r>
  <r>
    <n v="1176"/>
    <x v="0"/>
    <d v="2026-03-16T00:00:00"/>
    <s v="No"/>
    <s v="NULL"/>
    <n v="4"/>
    <x v="0"/>
    <n v="0"/>
  </r>
  <r>
    <n v="1180"/>
    <x v="0"/>
    <d v="2022-03-25T00:00:00"/>
    <s v="No"/>
    <s v="NULL"/>
    <n v="52"/>
    <x v="3"/>
    <n v="0"/>
  </r>
  <r>
    <n v="1184"/>
    <x v="0"/>
    <d v="2023-09-14T00:00:00"/>
    <s v="No"/>
    <s v="NULL"/>
    <n v="34"/>
    <x v="2"/>
    <n v="0"/>
  </r>
  <r>
    <n v="1185"/>
    <x v="0"/>
    <d v="2023-10-17T00:00:00"/>
    <s v="Yes"/>
    <d v="2025-02-15T00:00:00"/>
    <n v="15"/>
    <x v="2"/>
    <n v="1"/>
  </r>
  <r>
    <n v="1188"/>
    <x v="0"/>
    <d v="2023-01-13T00:00:00"/>
    <s v="No"/>
    <s v="NULL"/>
    <n v="43"/>
    <x v="3"/>
    <n v="0"/>
  </r>
  <r>
    <n v="1190"/>
    <x v="0"/>
    <d v="2024-09-27T00:00:00"/>
    <s v="Yes"/>
    <d v="2025-10-11T00:00:00"/>
    <n v="12"/>
    <x v="2"/>
    <n v="1"/>
  </r>
  <r>
    <n v="1195"/>
    <x v="0"/>
    <d v="2025-06-13T00:00:00"/>
    <s v="Yes"/>
    <d v="2026-07-10T00:00:00"/>
    <n v="12"/>
    <x v="2"/>
    <n v="1"/>
  </r>
  <r>
    <n v="1197"/>
    <x v="0"/>
    <d v="2026-06-04T00:00:00"/>
    <s v="No"/>
    <s v="NULL"/>
    <n v="2"/>
    <x v="0"/>
    <n v="0"/>
  </r>
  <r>
    <n v="1200"/>
    <x v="0"/>
    <d v="2025-06-15T00:00:00"/>
    <s v="No"/>
    <s v="NULL"/>
    <n v="13"/>
    <x v="2"/>
    <n v="0"/>
  </r>
  <r>
    <n v="1204"/>
    <x v="0"/>
    <d v="2025-04-01T00:00:00"/>
    <s v="No"/>
    <s v="NULL"/>
    <n v="16"/>
    <x v="2"/>
    <n v="0"/>
  </r>
  <r>
    <n v="1206"/>
    <x v="0"/>
    <d v="2023-03-28T00:00:00"/>
    <s v="Yes"/>
    <d v="2024-07-25T00:00:00"/>
    <n v="15"/>
    <x v="2"/>
    <n v="1"/>
  </r>
  <r>
    <n v="1218"/>
    <x v="0"/>
    <d v="2025-04-24T00:00:00"/>
    <s v="No"/>
    <s v="NULL"/>
    <n v="15"/>
    <x v="2"/>
    <n v="0"/>
  </r>
  <r>
    <n v="1220"/>
    <x v="0"/>
    <d v="2024-12-12T00:00:00"/>
    <s v="No"/>
    <s v="NULL"/>
    <n v="20"/>
    <x v="2"/>
    <n v="0"/>
  </r>
  <r>
    <n v="1221"/>
    <x v="0"/>
    <d v="2024-04-24T00:00:00"/>
    <s v="No"/>
    <s v="NULL"/>
    <n v="27"/>
    <x v="2"/>
    <n v="0"/>
  </r>
  <r>
    <n v="1224"/>
    <x v="0"/>
    <d v="2022-12-18T00:00:00"/>
    <s v="No"/>
    <s v="NULL"/>
    <n v="43"/>
    <x v="3"/>
    <n v="0"/>
  </r>
  <r>
    <n v="1228"/>
    <x v="0"/>
    <d v="2024-01-13T00:00:00"/>
    <s v="Yes"/>
    <d v="2025-05-12T00:00:00"/>
    <n v="15"/>
    <x v="2"/>
    <n v="1"/>
  </r>
  <r>
    <n v="1229"/>
    <x v="0"/>
    <d v="2022-04-19T00:00:00"/>
    <s v="No"/>
    <s v="NULL"/>
    <n v="51"/>
    <x v="3"/>
    <n v="0"/>
  </r>
  <r>
    <n v="1231"/>
    <x v="0"/>
    <d v="2021-09-07T00:00:00"/>
    <s v="Yes"/>
    <d v="2025-02-21T00:00:00"/>
    <n v="41"/>
    <x v="3"/>
    <n v="1"/>
  </r>
  <r>
    <n v="1233"/>
    <x v="0"/>
    <d v="2023-09-09T00:00:00"/>
    <s v="No"/>
    <s v="NULL"/>
    <n v="35"/>
    <x v="2"/>
    <n v="0"/>
  </r>
  <r>
    <n v="1236"/>
    <x v="0"/>
    <d v="2024-05-27T00:00:00"/>
    <s v="No"/>
    <s v="NULL"/>
    <n v="26"/>
    <x v="2"/>
    <n v="0"/>
  </r>
  <r>
    <n v="1239"/>
    <x v="0"/>
    <d v="2025-05-08T00:00:00"/>
    <s v="No"/>
    <s v="NULL"/>
    <n v="15"/>
    <x v="2"/>
    <n v="0"/>
  </r>
  <r>
    <n v="1242"/>
    <x v="0"/>
    <d v="2023-06-03T00:00:00"/>
    <s v="No"/>
    <s v="NULL"/>
    <n v="38"/>
    <x v="3"/>
    <n v="0"/>
  </r>
  <r>
    <n v="1245"/>
    <x v="0"/>
    <d v="2023-04-28T00:00:00"/>
    <s v="No"/>
    <s v="NULL"/>
    <n v="39"/>
    <x v="3"/>
    <n v="0"/>
  </r>
  <r>
    <n v="1246"/>
    <x v="0"/>
    <d v="2022-07-25T00:00:00"/>
    <s v="No"/>
    <s v="NULL"/>
    <n v="48"/>
    <x v="3"/>
    <n v="0"/>
  </r>
  <r>
    <n v="1248"/>
    <x v="0"/>
    <d v="2025-08-12T00:00:00"/>
    <s v="No"/>
    <s v="NULL"/>
    <n v="12"/>
    <x v="2"/>
    <n v="0"/>
  </r>
  <r>
    <n v="1251"/>
    <x v="0"/>
    <d v="2021-11-16T00:00:00"/>
    <s v="No"/>
    <s v="NULL"/>
    <n v="56"/>
    <x v="3"/>
    <n v="0"/>
  </r>
  <r>
    <n v="1252"/>
    <x v="0"/>
    <d v="2023-09-16T00:00:00"/>
    <s v="No"/>
    <s v="NULL"/>
    <n v="34"/>
    <x v="2"/>
    <n v="0"/>
  </r>
  <r>
    <n v="1254"/>
    <x v="0"/>
    <d v="2023-12-27T00:00:00"/>
    <s v="No"/>
    <s v="NULL"/>
    <n v="31"/>
    <x v="2"/>
    <n v="0"/>
  </r>
  <r>
    <n v="1260"/>
    <x v="0"/>
    <d v="2025-04-25T00:00:00"/>
    <s v="No"/>
    <s v="NULL"/>
    <n v="15"/>
    <x v="2"/>
    <n v="0"/>
  </r>
  <r>
    <n v="1261"/>
    <x v="0"/>
    <d v="2021-12-30T00:00:00"/>
    <s v="No"/>
    <s v="NULL"/>
    <n v="55"/>
    <x v="3"/>
    <n v="0"/>
  </r>
  <r>
    <n v="1265"/>
    <x v="0"/>
    <d v="2020-08-14T00:00:00"/>
    <s v="No"/>
    <s v="NULL"/>
    <n v="71"/>
    <x v="1"/>
    <n v="0"/>
  </r>
  <r>
    <n v="1268"/>
    <x v="0"/>
    <d v="2022-01-19T00:00:00"/>
    <s v="No"/>
    <s v="NULL"/>
    <n v="54"/>
    <x v="3"/>
    <n v="0"/>
  </r>
  <r>
    <n v="1270"/>
    <x v="0"/>
    <d v="2026-02-08T00:00:00"/>
    <s v="No"/>
    <s v="NULL"/>
    <n v="6"/>
    <x v="0"/>
    <n v="0"/>
  </r>
  <r>
    <n v="1275"/>
    <x v="0"/>
    <d v="2022-12-13T00:00:00"/>
    <s v="No"/>
    <s v="NULL"/>
    <n v="44"/>
    <x v="3"/>
    <n v="0"/>
  </r>
  <r>
    <n v="1277"/>
    <x v="0"/>
    <d v="2025-01-09T00:00:00"/>
    <s v="No"/>
    <s v="NULL"/>
    <n v="19"/>
    <x v="2"/>
    <n v="0"/>
  </r>
  <r>
    <n v="1279"/>
    <x v="0"/>
    <d v="2024-04-09T00:00:00"/>
    <s v="No"/>
    <s v="NULL"/>
    <n v="28"/>
    <x v="2"/>
    <n v="0"/>
  </r>
  <r>
    <n v="1280"/>
    <x v="0"/>
    <d v="2022-02-28T00:00:00"/>
    <s v="No"/>
    <s v="NULL"/>
    <n v="53"/>
    <x v="3"/>
    <n v="0"/>
  </r>
  <r>
    <n v="1282"/>
    <x v="0"/>
    <d v="2023-11-28T00:00:00"/>
    <s v="Yes"/>
    <d v="2025-01-24T00:00:00"/>
    <n v="13"/>
    <x v="2"/>
    <n v="1"/>
  </r>
  <r>
    <n v="1286"/>
    <x v="0"/>
    <d v="2024-03-10T00:00:00"/>
    <s v="No"/>
    <s v="NULL"/>
    <n v="29"/>
    <x v="2"/>
    <n v="0"/>
  </r>
  <r>
    <n v="1287"/>
    <x v="0"/>
    <d v="2026-01-16T00:00:00"/>
    <s v="No"/>
    <s v="NULL"/>
    <n v="6"/>
    <x v="0"/>
    <n v="0"/>
  </r>
  <r>
    <n v="1290"/>
    <x v="0"/>
    <d v="2019-08-23T00:00:00"/>
    <s v="No"/>
    <s v="NULL"/>
    <n v="83"/>
    <x v="1"/>
    <n v="0"/>
  </r>
  <r>
    <n v="1291"/>
    <x v="0"/>
    <d v="2025-09-22T00:00:00"/>
    <s v="No"/>
    <s v="NULL"/>
    <n v="10"/>
    <x v="0"/>
    <n v="0"/>
  </r>
  <r>
    <n v="1292"/>
    <x v="0"/>
    <d v="2020-07-28T00:00:00"/>
    <s v="No"/>
    <s v="NULL"/>
    <n v="72"/>
    <x v="1"/>
    <n v="0"/>
  </r>
  <r>
    <n v="1301"/>
    <x v="0"/>
    <d v="2025-04-17T00:00:00"/>
    <s v="No"/>
    <s v="NULL"/>
    <n v="15"/>
    <x v="2"/>
    <n v="0"/>
  </r>
  <r>
    <n v="1302"/>
    <x v="0"/>
    <d v="2020-01-01T00:00:00"/>
    <s v="No"/>
    <s v="NULL"/>
    <n v="79"/>
    <x v="1"/>
    <n v="0"/>
  </r>
  <r>
    <n v="1305"/>
    <x v="0"/>
    <d v="2025-02-24T00:00:00"/>
    <s v="No"/>
    <s v="NULL"/>
    <n v="17"/>
    <x v="2"/>
    <n v="0"/>
  </r>
  <r>
    <n v="1308"/>
    <x v="0"/>
    <d v="2023-10-29T00:00:00"/>
    <s v="No"/>
    <s v="NULL"/>
    <n v="33"/>
    <x v="2"/>
    <n v="0"/>
  </r>
  <r>
    <n v="1312"/>
    <x v="0"/>
    <d v="2022-05-19T00:00:00"/>
    <s v="No"/>
    <s v="NULL"/>
    <n v="50"/>
    <x v="3"/>
    <n v="0"/>
  </r>
  <r>
    <n v="1313"/>
    <x v="0"/>
    <d v="2023-07-16T00:00:00"/>
    <s v="No"/>
    <s v="NULL"/>
    <n v="36"/>
    <x v="3"/>
    <n v="0"/>
  </r>
  <r>
    <n v="1315"/>
    <x v="0"/>
    <d v="2021-09-10T00:00:00"/>
    <s v="No"/>
    <s v="NULL"/>
    <n v="59"/>
    <x v="3"/>
    <n v="0"/>
  </r>
  <r>
    <n v="1322"/>
    <x v="0"/>
    <d v="2025-06-28T00:00:00"/>
    <s v="No"/>
    <s v="NULL"/>
    <n v="13"/>
    <x v="2"/>
    <n v="0"/>
  </r>
  <r>
    <n v="1324"/>
    <x v="0"/>
    <d v="2024-06-01T00:00:00"/>
    <s v="No"/>
    <s v="NULL"/>
    <n v="26"/>
    <x v="2"/>
    <n v="0"/>
  </r>
  <r>
    <n v="1338"/>
    <x v="0"/>
    <d v="2025-06-23T00:00:00"/>
    <s v="Yes"/>
    <d v="2026-05-10T00:00:00"/>
    <n v="10"/>
    <x v="0"/>
    <n v="1"/>
  </r>
  <r>
    <n v="1340"/>
    <x v="0"/>
    <d v="2024-02-22T00:00:00"/>
    <s v="No"/>
    <s v="NULL"/>
    <n v="29"/>
    <x v="2"/>
    <n v="0"/>
  </r>
  <r>
    <n v="1343"/>
    <x v="0"/>
    <d v="2024-12-04T00:00:00"/>
    <s v="No"/>
    <s v="NULL"/>
    <n v="20"/>
    <x v="2"/>
    <n v="0"/>
  </r>
  <r>
    <n v="1352"/>
    <x v="0"/>
    <d v="2023-09-12T00:00:00"/>
    <s v="No"/>
    <s v="NULL"/>
    <n v="35"/>
    <x v="2"/>
    <n v="0"/>
  </r>
  <r>
    <n v="1363"/>
    <x v="0"/>
    <d v="2022-08-15T00:00:00"/>
    <s v="No"/>
    <s v="NULL"/>
    <n v="47"/>
    <x v="3"/>
    <n v="0"/>
  </r>
  <r>
    <n v="1365"/>
    <x v="0"/>
    <d v="2021-05-16T00:00:00"/>
    <s v="No"/>
    <s v="NULL"/>
    <n v="62"/>
    <x v="1"/>
    <n v="0"/>
  </r>
  <r>
    <n v="1369"/>
    <x v="0"/>
    <d v="2026-03-27T00:00:00"/>
    <s v="No"/>
    <s v="NULL"/>
    <n v="4"/>
    <x v="0"/>
    <n v="0"/>
  </r>
  <r>
    <n v="1372"/>
    <x v="0"/>
    <d v="2026-05-26T00:00:00"/>
    <s v="No"/>
    <s v="NULL"/>
    <n v="2"/>
    <x v="0"/>
    <n v="0"/>
  </r>
  <r>
    <n v="1373"/>
    <x v="0"/>
    <d v="2025-11-18T00:00:00"/>
    <s v="No"/>
    <s v="NULL"/>
    <n v="8"/>
    <x v="0"/>
    <n v="0"/>
  </r>
  <r>
    <n v="1376"/>
    <x v="0"/>
    <d v="2022-08-17T00:00:00"/>
    <s v="No"/>
    <s v="NULL"/>
    <n v="47"/>
    <x v="3"/>
    <n v="0"/>
  </r>
  <r>
    <n v="1378"/>
    <x v="0"/>
    <d v="2019-10-15T00:00:00"/>
    <s v="No"/>
    <s v="NULL"/>
    <n v="81"/>
    <x v="1"/>
    <n v="0"/>
  </r>
  <r>
    <n v="1382"/>
    <x v="0"/>
    <d v="2023-05-29T00:00:00"/>
    <s v="No"/>
    <s v="NULL"/>
    <n v="38"/>
    <x v="3"/>
    <n v="0"/>
  </r>
  <r>
    <n v="1394"/>
    <x v="0"/>
    <d v="2025-02-26T00:00:00"/>
    <s v="No"/>
    <s v="NULL"/>
    <n v="17"/>
    <x v="2"/>
    <n v="0"/>
  </r>
  <r>
    <n v="1395"/>
    <x v="0"/>
    <d v="2026-05-14T00:00:00"/>
    <s v="No"/>
    <s v="NULL"/>
    <n v="2"/>
    <x v="0"/>
    <n v="0"/>
  </r>
  <r>
    <n v="1400"/>
    <x v="0"/>
    <d v="2026-05-11T00:00:00"/>
    <s v="No"/>
    <s v="NULL"/>
    <n v="3"/>
    <x v="0"/>
    <n v="0"/>
  </r>
  <r>
    <n v="1402"/>
    <x v="0"/>
    <d v="2024-05-23T00:00:00"/>
    <s v="No"/>
    <s v="NULL"/>
    <n v="26"/>
    <x v="2"/>
    <n v="0"/>
  </r>
  <r>
    <n v="1403"/>
    <x v="0"/>
    <d v="2024-10-01T00:00:00"/>
    <s v="Yes"/>
    <d v="2025-05-12T00:00:00"/>
    <n v="7"/>
    <x v="0"/>
    <n v="1"/>
  </r>
  <r>
    <n v="1405"/>
    <x v="0"/>
    <d v="2023-11-09T00:00:00"/>
    <s v="No"/>
    <s v="NULL"/>
    <n v="33"/>
    <x v="2"/>
    <n v="0"/>
  </r>
  <r>
    <n v="1406"/>
    <x v="0"/>
    <d v="2025-01-07T00:00:00"/>
    <s v="No"/>
    <s v="NULL"/>
    <n v="19"/>
    <x v="2"/>
    <n v="0"/>
  </r>
  <r>
    <n v="1414"/>
    <x v="0"/>
    <d v="2023-09-22T00:00:00"/>
    <s v="No"/>
    <s v="NULL"/>
    <n v="34"/>
    <x v="2"/>
    <n v="0"/>
  </r>
  <r>
    <n v="1418"/>
    <x v="0"/>
    <d v="2023-09-17T00:00:00"/>
    <s v="No"/>
    <s v="NULL"/>
    <n v="34"/>
    <x v="2"/>
    <n v="0"/>
  </r>
  <r>
    <n v="1424"/>
    <x v="0"/>
    <d v="2019-09-20T00:00:00"/>
    <s v="Yes"/>
    <d v="2023-03-06T00:00:00"/>
    <n v="41"/>
    <x v="3"/>
    <n v="1"/>
  </r>
  <r>
    <n v="1427"/>
    <x v="0"/>
    <d v="2026-07-19T00:00:00"/>
    <s v="Yes"/>
    <d v="2026-08-18T00:00:00"/>
    <n v="0"/>
    <x v="0"/>
    <n v="1"/>
  </r>
  <r>
    <n v="1428"/>
    <x v="0"/>
    <d v="2026-04-27T00:00:00"/>
    <s v="No"/>
    <s v="NULL"/>
    <n v="3"/>
    <x v="0"/>
    <n v="0"/>
  </r>
  <r>
    <n v="1429"/>
    <x v="0"/>
    <d v="2024-09-15T00:00:00"/>
    <s v="No"/>
    <s v="NULL"/>
    <n v="22"/>
    <x v="2"/>
    <n v="0"/>
  </r>
  <r>
    <n v="1431"/>
    <x v="0"/>
    <d v="2024-08-23T00:00:00"/>
    <s v="No"/>
    <s v="NULL"/>
    <n v="23"/>
    <x v="2"/>
    <n v="0"/>
  </r>
  <r>
    <n v="1434"/>
    <x v="0"/>
    <d v="2026-04-17T00:00:00"/>
    <s v="No"/>
    <s v="NULL"/>
    <n v="3"/>
    <x v="0"/>
    <n v="0"/>
  </r>
  <r>
    <n v="1443"/>
    <x v="0"/>
    <d v="2023-12-27T00:00:00"/>
    <s v="No"/>
    <s v="NULL"/>
    <n v="31"/>
    <x v="2"/>
    <n v="0"/>
  </r>
  <r>
    <n v="1444"/>
    <x v="0"/>
    <d v="2024-02-10T00:00:00"/>
    <s v="No"/>
    <s v="NULL"/>
    <n v="30"/>
    <x v="2"/>
    <n v="0"/>
  </r>
  <r>
    <n v="1447"/>
    <x v="0"/>
    <d v="2023-10-20T00:00:00"/>
    <s v="Yes"/>
    <d v="2024-11-11T00:00:00"/>
    <n v="12"/>
    <x v="2"/>
    <n v="1"/>
  </r>
  <r>
    <n v="1448"/>
    <x v="0"/>
    <d v="2024-07-25T00:00:00"/>
    <s v="No"/>
    <s v="NULL"/>
    <n v="24"/>
    <x v="2"/>
    <n v="0"/>
  </r>
  <r>
    <n v="1451"/>
    <x v="0"/>
    <d v="2022-06-05T00:00:00"/>
    <s v="No"/>
    <s v="NULL"/>
    <n v="50"/>
    <x v="3"/>
    <n v="0"/>
  </r>
  <r>
    <n v="1452"/>
    <x v="0"/>
    <d v="2025-07-06T00:00:00"/>
    <s v="No"/>
    <s v="NULL"/>
    <n v="13"/>
    <x v="2"/>
    <n v="0"/>
  </r>
  <r>
    <n v="1461"/>
    <x v="0"/>
    <d v="2026-01-11T00:00:00"/>
    <s v="Yes"/>
    <d v="2026-02-10T00:00:00"/>
    <n v="0"/>
    <x v="0"/>
    <n v="1"/>
  </r>
  <r>
    <n v="1462"/>
    <x v="0"/>
    <d v="2024-11-29T00:00:00"/>
    <s v="No"/>
    <s v="NULL"/>
    <n v="20"/>
    <x v="2"/>
    <n v="0"/>
  </r>
  <r>
    <n v="1464"/>
    <x v="0"/>
    <d v="2021-07-10T00:00:00"/>
    <s v="No"/>
    <s v="NULL"/>
    <n v="61"/>
    <x v="1"/>
    <n v="0"/>
  </r>
  <r>
    <n v="1467"/>
    <x v="0"/>
    <d v="2024-02-23T00:00:00"/>
    <s v="Yes"/>
    <d v="2025-10-30T00:00:00"/>
    <n v="20"/>
    <x v="2"/>
    <n v="1"/>
  </r>
  <r>
    <n v="1468"/>
    <x v="0"/>
    <d v="2025-12-20T00:00:00"/>
    <s v="No"/>
    <s v="NULL"/>
    <n v="7"/>
    <x v="0"/>
    <n v="0"/>
  </r>
  <r>
    <n v="1469"/>
    <x v="0"/>
    <d v="2024-08-20T00:00:00"/>
    <s v="No"/>
    <s v="NULL"/>
    <n v="23"/>
    <x v="2"/>
    <n v="0"/>
  </r>
  <r>
    <n v="1471"/>
    <x v="0"/>
    <d v="2023-06-23T00:00:00"/>
    <s v="No"/>
    <s v="NULL"/>
    <n v="37"/>
    <x v="3"/>
    <n v="0"/>
  </r>
  <r>
    <n v="1472"/>
    <x v="0"/>
    <d v="2024-04-29T00:00:00"/>
    <s v="Yes"/>
    <d v="2026-05-09T00:00:00"/>
    <n v="24"/>
    <x v="2"/>
    <n v="1"/>
  </r>
  <r>
    <n v="1475"/>
    <x v="0"/>
    <d v="2023-08-27T00:00:00"/>
    <s v="No"/>
    <s v="NULL"/>
    <n v="35"/>
    <x v="2"/>
    <n v="0"/>
  </r>
  <r>
    <n v="1477"/>
    <x v="0"/>
    <d v="2024-07-30T00:00:00"/>
    <s v="No"/>
    <s v="NULL"/>
    <n v="24"/>
    <x v="2"/>
    <n v="0"/>
  </r>
  <r>
    <n v="1482"/>
    <x v="0"/>
    <d v="2025-06-17T00:00:00"/>
    <s v="No"/>
    <s v="NULL"/>
    <n v="13"/>
    <x v="2"/>
    <n v="0"/>
  </r>
  <r>
    <n v="1483"/>
    <x v="0"/>
    <d v="2024-09-17T00:00:00"/>
    <s v="No"/>
    <s v="NULL"/>
    <n v="22"/>
    <x v="2"/>
    <n v="0"/>
  </r>
  <r>
    <n v="1487"/>
    <x v="0"/>
    <d v="2021-06-23T00:00:00"/>
    <s v="No"/>
    <s v="NULL"/>
    <n v="61"/>
    <x v="1"/>
    <n v="0"/>
  </r>
  <r>
    <n v="1488"/>
    <x v="0"/>
    <d v="2022-03-12T00:00:00"/>
    <s v="No"/>
    <s v="NULL"/>
    <n v="53"/>
    <x v="3"/>
    <n v="0"/>
  </r>
  <r>
    <n v="1493"/>
    <x v="0"/>
    <d v="2021-06-25T00:00:00"/>
    <s v="Yes"/>
    <d v="2023-06-24T00:00:00"/>
    <n v="23"/>
    <x v="2"/>
    <n v="1"/>
  </r>
  <r>
    <n v="1495"/>
    <x v="0"/>
    <d v="2024-11-15T00:00:00"/>
    <s v="No"/>
    <s v="NULL"/>
    <n v="20"/>
    <x v="2"/>
    <n v="0"/>
  </r>
  <r>
    <n v="1500"/>
    <x v="0"/>
    <d v="2025-07-30T00:00:00"/>
    <s v="No"/>
    <s v="NULL"/>
    <n v="12"/>
    <x v="2"/>
    <n v="0"/>
  </r>
  <r>
    <n v="1503"/>
    <x v="0"/>
    <d v="2023-11-19T00:00:00"/>
    <s v="No"/>
    <s v="NULL"/>
    <n v="32"/>
    <x v="2"/>
    <n v="0"/>
  </r>
  <r>
    <n v="1505"/>
    <x v="0"/>
    <d v="2025-10-31T00:00:00"/>
    <s v="No"/>
    <s v="NULL"/>
    <n v="9"/>
    <x v="0"/>
    <n v="0"/>
  </r>
  <r>
    <n v="1508"/>
    <x v="0"/>
    <d v="2026-04-21T00:00:00"/>
    <s v="No"/>
    <s v="NULL"/>
    <n v="3"/>
    <x v="0"/>
    <n v="0"/>
  </r>
  <r>
    <n v="1510"/>
    <x v="0"/>
    <d v="2026-01-11T00:00:00"/>
    <s v="No"/>
    <s v="NULL"/>
    <n v="7"/>
    <x v="0"/>
    <n v="0"/>
  </r>
  <r>
    <n v="1513"/>
    <x v="0"/>
    <d v="2025-07-12T00:00:00"/>
    <s v="No"/>
    <s v="NULL"/>
    <n v="13"/>
    <x v="2"/>
    <n v="0"/>
  </r>
  <r>
    <n v="1517"/>
    <x v="0"/>
    <d v="2022-12-14T00:00:00"/>
    <s v="No"/>
    <s v="NULL"/>
    <n v="43"/>
    <x v="3"/>
    <n v="0"/>
  </r>
  <r>
    <n v="1521"/>
    <x v="0"/>
    <d v="2026-02-25T00:00:00"/>
    <s v="Yes"/>
    <d v="2026-03-27T00:00:00"/>
    <n v="1"/>
    <x v="0"/>
    <n v="1"/>
  </r>
  <r>
    <n v="1522"/>
    <x v="0"/>
    <d v="2023-02-10T00:00:00"/>
    <s v="No"/>
    <s v="NULL"/>
    <n v="42"/>
    <x v="3"/>
    <n v="0"/>
  </r>
  <r>
    <n v="1523"/>
    <x v="0"/>
    <d v="2025-03-16T00:00:00"/>
    <s v="Yes"/>
    <d v="2025-09-13T00:00:00"/>
    <n v="5"/>
    <x v="0"/>
    <n v="1"/>
  </r>
  <r>
    <n v="1524"/>
    <x v="0"/>
    <d v="2021-07-28T00:00:00"/>
    <s v="Yes"/>
    <d v="2025-06-20T00:00:00"/>
    <n v="46"/>
    <x v="3"/>
    <n v="1"/>
  </r>
  <r>
    <n v="1527"/>
    <x v="0"/>
    <d v="2022-10-04T00:00:00"/>
    <s v="Yes"/>
    <d v="2025-03-15T00:00:00"/>
    <n v="29"/>
    <x v="2"/>
    <n v="1"/>
  </r>
  <r>
    <n v="1528"/>
    <x v="0"/>
    <d v="2025-07-18T00:00:00"/>
    <s v="No"/>
    <s v="NULL"/>
    <n v="12"/>
    <x v="2"/>
    <n v="0"/>
  </r>
  <r>
    <n v="1531"/>
    <x v="0"/>
    <d v="2025-10-19T00:00:00"/>
    <s v="No"/>
    <s v="NULL"/>
    <n v="9"/>
    <x v="0"/>
    <n v="0"/>
  </r>
  <r>
    <n v="1533"/>
    <x v="0"/>
    <d v="2023-11-24T00:00:00"/>
    <s v="Yes"/>
    <d v="2025-11-25T00:00:00"/>
    <n v="24"/>
    <x v="2"/>
    <n v="1"/>
  </r>
  <r>
    <n v="1534"/>
    <x v="0"/>
    <d v="2024-10-18T00:00:00"/>
    <s v="No"/>
    <s v="NULL"/>
    <n v="21"/>
    <x v="2"/>
    <n v="0"/>
  </r>
  <r>
    <n v="1539"/>
    <x v="0"/>
    <d v="2025-05-29T00:00:00"/>
    <s v="Yes"/>
    <d v="2025-11-24T00:00:00"/>
    <n v="5"/>
    <x v="0"/>
    <n v="1"/>
  </r>
  <r>
    <n v="1541"/>
    <x v="0"/>
    <d v="2023-10-06T00:00:00"/>
    <s v="No"/>
    <s v="NULL"/>
    <n v="34"/>
    <x v="2"/>
    <n v="0"/>
  </r>
  <r>
    <n v="1545"/>
    <x v="0"/>
    <d v="2025-01-27T00:00:00"/>
    <s v="No"/>
    <s v="NULL"/>
    <n v="18"/>
    <x v="2"/>
    <n v="0"/>
  </r>
  <r>
    <n v="1553"/>
    <x v="0"/>
    <d v="2025-09-30T00:00:00"/>
    <s v="No"/>
    <s v="NULL"/>
    <n v="10"/>
    <x v="0"/>
    <n v="0"/>
  </r>
  <r>
    <n v="1555"/>
    <x v="0"/>
    <d v="2026-01-09T00:00:00"/>
    <s v="No"/>
    <s v="NULL"/>
    <n v="7"/>
    <x v="0"/>
    <n v="0"/>
  </r>
  <r>
    <n v="1556"/>
    <x v="0"/>
    <d v="2026-04-28T00:00:00"/>
    <s v="No"/>
    <s v="NULL"/>
    <n v="3"/>
    <x v="0"/>
    <n v="0"/>
  </r>
  <r>
    <n v="1565"/>
    <x v="0"/>
    <d v="2025-09-04T00:00:00"/>
    <s v="No"/>
    <s v="NULL"/>
    <n v="11"/>
    <x v="0"/>
    <n v="0"/>
  </r>
  <r>
    <n v="1566"/>
    <x v="0"/>
    <d v="2024-11-16T00:00:00"/>
    <s v="No"/>
    <s v="NULL"/>
    <n v="20"/>
    <x v="2"/>
    <n v="0"/>
  </r>
  <r>
    <n v="1567"/>
    <x v="0"/>
    <d v="2022-06-02T00:00:00"/>
    <s v="No"/>
    <s v="NULL"/>
    <n v="50"/>
    <x v="3"/>
    <n v="0"/>
  </r>
  <r>
    <n v="1568"/>
    <x v="0"/>
    <d v="2024-08-18T00:00:00"/>
    <s v="No"/>
    <s v="NULL"/>
    <n v="23"/>
    <x v="2"/>
    <n v="0"/>
  </r>
  <r>
    <n v="1572"/>
    <x v="0"/>
    <d v="2023-03-10T00:00:00"/>
    <s v="Yes"/>
    <d v="2024-05-26T00:00:00"/>
    <n v="14"/>
    <x v="2"/>
    <n v="1"/>
  </r>
  <r>
    <n v="1573"/>
    <x v="0"/>
    <d v="2023-09-07T00:00:00"/>
    <s v="No"/>
    <s v="NULL"/>
    <n v="35"/>
    <x v="2"/>
    <n v="0"/>
  </r>
  <r>
    <n v="1574"/>
    <x v="0"/>
    <d v="2025-08-05T00:00:00"/>
    <s v="No"/>
    <s v="NULL"/>
    <n v="12"/>
    <x v="2"/>
    <n v="0"/>
  </r>
  <r>
    <n v="1581"/>
    <x v="0"/>
    <d v="2026-07-07T00:00:00"/>
    <s v="No"/>
    <s v="NULL"/>
    <n v="1"/>
    <x v="0"/>
    <n v="0"/>
  </r>
  <r>
    <n v="1582"/>
    <x v="0"/>
    <d v="2025-06-26T00:00:00"/>
    <s v="No"/>
    <s v="NULL"/>
    <n v="13"/>
    <x v="2"/>
    <n v="0"/>
  </r>
  <r>
    <n v="1585"/>
    <x v="0"/>
    <d v="2025-07-06T00:00:00"/>
    <s v="No"/>
    <s v="NULL"/>
    <n v="13"/>
    <x v="2"/>
    <n v="0"/>
  </r>
  <r>
    <n v="1589"/>
    <x v="0"/>
    <d v="2023-03-23T00:00:00"/>
    <s v="No"/>
    <s v="NULL"/>
    <n v="40"/>
    <x v="3"/>
    <n v="0"/>
  </r>
  <r>
    <n v="1593"/>
    <x v="0"/>
    <d v="2026-07-16T00:00:00"/>
    <s v="No"/>
    <s v="NULL"/>
    <n v="0"/>
    <x v="0"/>
    <n v="0"/>
  </r>
  <r>
    <n v="1595"/>
    <x v="0"/>
    <d v="2026-07-07T00:00:00"/>
    <s v="No"/>
    <s v="NULL"/>
    <n v="1"/>
    <x v="0"/>
    <n v="0"/>
  </r>
  <r>
    <n v="1596"/>
    <x v="0"/>
    <d v="2020-12-17T00:00:00"/>
    <s v="No"/>
    <s v="NULL"/>
    <n v="67"/>
    <x v="1"/>
    <n v="0"/>
  </r>
  <r>
    <n v="1598"/>
    <x v="0"/>
    <d v="2025-08-11T00:00:00"/>
    <s v="No"/>
    <s v="NULL"/>
    <n v="12"/>
    <x v="2"/>
    <n v="0"/>
  </r>
  <r>
    <n v="1611"/>
    <x v="0"/>
    <d v="2025-04-29T00:00:00"/>
    <s v="No"/>
    <s v="NULL"/>
    <n v="15"/>
    <x v="2"/>
    <n v="0"/>
  </r>
  <r>
    <n v="1612"/>
    <x v="0"/>
    <d v="2026-01-23T00:00:00"/>
    <s v="No"/>
    <s v="NULL"/>
    <n v="6"/>
    <x v="0"/>
    <n v="0"/>
  </r>
  <r>
    <n v="1614"/>
    <x v="0"/>
    <d v="2022-10-30T00:00:00"/>
    <s v="Yes"/>
    <d v="2024-01-04T00:00:00"/>
    <n v="14"/>
    <x v="2"/>
    <n v="1"/>
  </r>
  <r>
    <n v="1615"/>
    <x v="0"/>
    <d v="2025-04-16T00:00:00"/>
    <s v="No"/>
    <s v="NULL"/>
    <n v="15"/>
    <x v="2"/>
    <n v="0"/>
  </r>
  <r>
    <n v="1619"/>
    <x v="0"/>
    <d v="2023-01-01T00:00:00"/>
    <s v="No"/>
    <s v="NULL"/>
    <n v="43"/>
    <x v="3"/>
    <n v="0"/>
  </r>
  <r>
    <n v="1623"/>
    <x v="0"/>
    <d v="2025-01-13T00:00:00"/>
    <s v="No"/>
    <s v="NULL"/>
    <n v="19"/>
    <x v="2"/>
    <n v="0"/>
  </r>
  <r>
    <n v="1625"/>
    <x v="0"/>
    <d v="2024-05-19T00:00:00"/>
    <s v="No"/>
    <s v="NULL"/>
    <n v="26"/>
    <x v="2"/>
    <n v="0"/>
  </r>
  <r>
    <n v="1630"/>
    <x v="0"/>
    <d v="2021-09-17T00:00:00"/>
    <s v="No"/>
    <s v="NULL"/>
    <n v="58"/>
    <x v="3"/>
    <n v="0"/>
  </r>
  <r>
    <n v="1632"/>
    <x v="0"/>
    <d v="2023-11-04T00:00:00"/>
    <s v="No"/>
    <s v="NULL"/>
    <n v="33"/>
    <x v="2"/>
    <n v="0"/>
  </r>
  <r>
    <n v="1633"/>
    <x v="0"/>
    <d v="2021-04-27T00:00:00"/>
    <s v="Yes"/>
    <d v="2023-12-20T00:00:00"/>
    <n v="31"/>
    <x v="2"/>
    <n v="1"/>
  </r>
  <r>
    <n v="1637"/>
    <x v="0"/>
    <d v="2025-12-26T00:00:00"/>
    <s v="No"/>
    <s v="NULL"/>
    <n v="7"/>
    <x v="0"/>
    <n v="0"/>
  </r>
  <r>
    <n v="1639"/>
    <x v="0"/>
    <d v="2025-03-02T00:00:00"/>
    <s v="No"/>
    <s v="NULL"/>
    <n v="17"/>
    <x v="2"/>
    <n v="0"/>
  </r>
  <r>
    <n v="1640"/>
    <x v="0"/>
    <d v="2025-07-06T00:00:00"/>
    <s v="No"/>
    <s v="NULL"/>
    <n v="13"/>
    <x v="2"/>
    <n v="0"/>
  </r>
  <r>
    <n v="1645"/>
    <x v="0"/>
    <d v="2025-10-30T00:00:00"/>
    <s v="No"/>
    <s v="NULL"/>
    <n v="9"/>
    <x v="0"/>
    <n v="0"/>
  </r>
  <r>
    <n v="1648"/>
    <x v="0"/>
    <d v="2026-06-06T00:00:00"/>
    <s v="No"/>
    <s v="NULL"/>
    <n v="2"/>
    <x v="0"/>
    <n v="0"/>
  </r>
  <r>
    <n v="1650"/>
    <x v="0"/>
    <d v="2026-03-15T00:00:00"/>
    <s v="No"/>
    <s v="NULL"/>
    <n v="4"/>
    <x v="0"/>
    <n v="0"/>
  </r>
  <r>
    <n v="1657"/>
    <x v="0"/>
    <d v="2025-07-02T00:00:00"/>
    <s v="No"/>
    <s v="NULL"/>
    <n v="13"/>
    <x v="2"/>
    <n v="0"/>
  </r>
  <r>
    <n v="1662"/>
    <x v="0"/>
    <d v="2025-02-02T00:00:00"/>
    <s v="No"/>
    <s v="NULL"/>
    <n v="18"/>
    <x v="2"/>
    <n v="0"/>
  </r>
  <r>
    <n v="1668"/>
    <x v="0"/>
    <d v="2020-03-18T00:00:00"/>
    <s v="No"/>
    <s v="NULL"/>
    <n v="76"/>
    <x v="1"/>
    <n v="0"/>
  </r>
  <r>
    <n v="1669"/>
    <x v="0"/>
    <d v="2023-12-18T00:00:00"/>
    <s v="Yes"/>
    <d v="2026-01-04T00:00:00"/>
    <n v="24"/>
    <x v="2"/>
    <n v="1"/>
  </r>
  <r>
    <n v="1671"/>
    <x v="0"/>
    <d v="2022-11-23T00:00:00"/>
    <s v="No"/>
    <s v="NULL"/>
    <n v="44"/>
    <x v="3"/>
    <n v="0"/>
  </r>
  <r>
    <n v="1672"/>
    <x v="0"/>
    <d v="2025-06-08T00:00:00"/>
    <s v="No"/>
    <s v="NULL"/>
    <n v="14"/>
    <x v="2"/>
    <n v="0"/>
  </r>
  <r>
    <n v="1674"/>
    <x v="0"/>
    <d v="2025-08-28T00:00:00"/>
    <s v="No"/>
    <s v="NULL"/>
    <n v="11"/>
    <x v="0"/>
    <n v="0"/>
  </r>
  <r>
    <n v="1678"/>
    <x v="0"/>
    <d v="2024-10-22T00:00:00"/>
    <s v="Yes"/>
    <d v="2025-10-30T00:00:00"/>
    <n v="12"/>
    <x v="2"/>
    <n v="1"/>
  </r>
  <r>
    <n v="1681"/>
    <x v="0"/>
    <d v="2024-09-04T00:00:00"/>
    <s v="No"/>
    <s v="NULL"/>
    <n v="23"/>
    <x v="2"/>
    <n v="0"/>
  </r>
  <r>
    <n v="1683"/>
    <x v="0"/>
    <d v="2025-10-04T00:00:00"/>
    <s v="Yes"/>
    <d v="2025-11-03T00:00:00"/>
    <n v="0"/>
    <x v="0"/>
    <n v="1"/>
  </r>
  <r>
    <n v="1685"/>
    <x v="0"/>
    <d v="2026-06-27T00:00:00"/>
    <s v="No"/>
    <s v="NULL"/>
    <n v="1"/>
    <x v="0"/>
    <n v="0"/>
  </r>
  <r>
    <n v="1686"/>
    <x v="0"/>
    <d v="2020-10-30T00:00:00"/>
    <s v="No"/>
    <s v="NULL"/>
    <n v="69"/>
    <x v="1"/>
    <n v="0"/>
  </r>
  <r>
    <n v="1688"/>
    <x v="0"/>
    <d v="2026-06-13T00:00:00"/>
    <s v="No"/>
    <s v="NULL"/>
    <n v="2"/>
    <x v="0"/>
    <n v="0"/>
  </r>
  <r>
    <n v="1694"/>
    <x v="0"/>
    <d v="2022-03-22T00:00:00"/>
    <s v="No"/>
    <s v="NULL"/>
    <n v="52"/>
    <x v="3"/>
    <n v="0"/>
  </r>
  <r>
    <n v="1700"/>
    <x v="0"/>
    <d v="2021-09-28T00:00:00"/>
    <s v="No"/>
    <s v="NULL"/>
    <n v="58"/>
    <x v="3"/>
    <n v="0"/>
  </r>
  <r>
    <n v="1703"/>
    <x v="0"/>
    <d v="2025-03-10T00:00:00"/>
    <s v="No"/>
    <s v="NULL"/>
    <n v="17"/>
    <x v="2"/>
    <n v="0"/>
  </r>
  <r>
    <n v="1711"/>
    <x v="0"/>
    <d v="2025-05-06T00:00:00"/>
    <s v="No"/>
    <s v="NULL"/>
    <n v="15"/>
    <x v="2"/>
    <n v="0"/>
  </r>
  <r>
    <n v="1712"/>
    <x v="0"/>
    <d v="2023-10-15T00:00:00"/>
    <s v="No"/>
    <s v="NULL"/>
    <n v="33"/>
    <x v="2"/>
    <n v="0"/>
  </r>
  <r>
    <n v="1714"/>
    <x v="0"/>
    <d v="2024-12-31T00:00:00"/>
    <s v="No"/>
    <s v="NULL"/>
    <n v="19"/>
    <x v="2"/>
    <n v="0"/>
  </r>
  <r>
    <n v="1715"/>
    <x v="0"/>
    <d v="2025-05-17T00:00:00"/>
    <s v="No"/>
    <s v="NULL"/>
    <n v="14"/>
    <x v="2"/>
    <n v="0"/>
  </r>
  <r>
    <n v="1718"/>
    <x v="0"/>
    <d v="2025-04-17T00:00:00"/>
    <s v="No"/>
    <s v="NULL"/>
    <n v="15"/>
    <x v="2"/>
    <n v="0"/>
  </r>
  <r>
    <n v="1720"/>
    <x v="0"/>
    <d v="2024-09-24T00:00:00"/>
    <s v="No"/>
    <s v="NULL"/>
    <n v="22"/>
    <x v="2"/>
    <n v="0"/>
  </r>
  <r>
    <n v="1723"/>
    <x v="0"/>
    <d v="2025-08-25T00:00:00"/>
    <s v="No"/>
    <s v="NULL"/>
    <n v="11"/>
    <x v="0"/>
    <n v="0"/>
  </r>
  <r>
    <n v="1726"/>
    <x v="0"/>
    <d v="2025-01-20T00:00:00"/>
    <s v="No"/>
    <s v="NULL"/>
    <n v="18"/>
    <x v="2"/>
    <n v="0"/>
  </r>
  <r>
    <n v="1733"/>
    <x v="0"/>
    <d v="2026-04-24T00:00:00"/>
    <s v="No"/>
    <s v="NULL"/>
    <n v="3"/>
    <x v="0"/>
    <n v="0"/>
  </r>
  <r>
    <n v="1737"/>
    <x v="0"/>
    <d v="2024-09-27T00:00:00"/>
    <s v="Yes"/>
    <d v="2025-09-23T00:00:00"/>
    <n v="11"/>
    <x v="0"/>
    <n v="1"/>
  </r>
  <r>
    <n v="1740"/>
    <x v="0"/>
    <d v="2026-05-29T00:00:00"/>
    <s v="Yes"/>
    <d v="2026-06-28T00:00:00"/>
    <n v="0"/>
    <x v="0"/>
    <n v="1"/>
  </r>
  <r>
    <n v="1753"/>
    <x v="0"/>
    <d v="2025-11-14T00:00:00"/>
    <s v="Yes"/>
    <d v="2025-12-14T00:00:00"/>
    <n v="1"/>
    <x v="0"/>
    <n v="1"/>
  </r>
  <r>
    <n v="1755"/>
    <x v="0"/>
    <d v="2022-09-16T00:00:00"/>
    <s v="No"/>
    <s v="NULL"/>
    <n v="46"/>
    <x v="3"/>
    <n v="0"/>
  </r>
  <r>
    <n v="1756"/>
    <x v="0"/>
    <d v="2024-02-15T00:00:00"/>
    <s v="No"/>
    <s v="NULL"/>
    <n v="29"/>
    <x v="2"/>
    <n v="0"/>
  </r>
  <r>
    <n v="1764"/>
    <x v="0"/>
    <d v="2021-04-28T00:00:00"/>
    <s v="No"/>
    <s v="NULL"/>
    <n v="63"/>
    <x v="1"/>
    <n v="0"/>
  </r>
  <r>
    <n v="1766"/>
    <x v="0"/>
    <d v="2023-05-16T00:00:00"/>
    <s v="Yes"/>
    <d v="2024-08-20T00:00:00"/>
    <n v="15"/>
    <x v="2"/>
    <n v="1"/>
  </r>
  <r>
    <n v="1768"/>
    <x v="0"/>
    <d v="2023-01-18T00:00:00"/>
    <s v="No"/>
    <s v="NULL"/>
    <n v="42"/>
    <x v="3"/>
    <n v="0"/>
  </r>
  <r>
    <n v="1771"/>
    <x v="0"/>
    <d v="2024-12-22T00:00:00"/>
    <s v="No"/>
    <s v="NULL"/>
    <n v="19"/>
    <x v="2"/>
    <n v="0"/>
  </r>
  <r>
    <n v="1774"/>
    <x v="0"/>
    <d v="2026-06-28T00:00:00"/>
    <s v="No"/>
    <s v="NULL"/>
    <n v="1"/>
    <x v="0"/>
    <n v="0"/>
  </r>
  <r>
    <n v="1784"/>
    <x v="0"/>
    <d v="2025-12-06T00:00:00"/>
    <s v="No"/>
    <s v="NULL"/>
    <n v="8"/>
    <x v="0"/>
    <n v="0"/>
  </r>
  <r>
    <n v="1789"/>
    <x v="0"/>
    <d v="2021-04-21T00:00:00"/>
    <s v="No"/>
    <s v="NULL"/>
    <n v="63"/>
    <x v="1"/>
    <n v="0"/>
  </r>
  <r>
    <n v="1794"/>
    <x v="0"/>
    <d v="2021-02-10T00:00:00"/>
    <s v="No"/>
    <s v="NULL"/>
    <n v="66"/>
    <x v="1"/>
    <n v="0"/>
  </r>
  <r>
    <n v="1799"/>
    <x v="0"/>
    <d v="2024-02-01T00:00:00"/>
    <s v="No"/>
    <s v="NULL"/>
    <n v="30"/>
    <x v="2"/>
    <n v="0"/>
  </r>
  <r>
    <n v="1801"/>
    <x v="0"/>
    <d v="2024-08-23T00:00:00"/>
    <s v="No"/>
    <s v="NULL"/>
    <n v="23"/>
    <x v="2"/>
    <n v="0"/>
  </r>
  <r>
    <n v="1805"/>
    <x v="0"/>
    <d v="2024-02-05T00:00:00"/>
    <s v="No"/>
    <s v="NULL"/>
    <n v="30"/>
    <x v="2"/>
    <n v="0"/>
  </r>
  <r>
    <n v="1811"/>
    <x v="0"/>
    <d v="2022-02-21T00:00:00"/>
    <s v="No"/>
    <s v="NULL"/>
    <n v="53"/>
    <x v="3"/>
    <n v="0"/>
  </r>
  <r>
    <n v="1813"/>
    <x v="0"/>
    <d v="2025-06-17T00:00:00"/>
    <s v="No"/>
    <s v="NULL"/>
    <n v="13"/>
    <x v="2"/>
    <n v="0"/>
  </r>
  <r>
    <n v="1823"/>
    <x v="0"/>
    <d v="2023-04-01T00:00:00"/>
    <s v="No"/>
    <s v="NULL"/>
    <n v="40"/>
    <x v="3"/>
    <n v="0"/>
  </r>
  <r>
    <n v="1824"/>
    <x v="0"/>
    <d v="2025-06-24T00:00:00"/>
    <s v="No"/>
    <s v="NULL"/>
    <n v="13"/>
    <x v="2"/>
    <n v="0"/>
  </r>
  <r>
    <n v="1825"/>
    <x v="0"/>
    <d v="2022-06-22T00:00:00"/>
    <s v="No"/>
    <s v="NULL"/>
    <n v="49"/>
    <x v="3"/>
    <n v="0"/>
  </r>
  <r>
    <n v="1831"/>
    <x v="0"/>
    <d v="2022-10-02T00:00:00"/>
    <s v="No"/>
    <s v="NULL"/>
    <n v="46"/>
    <x v="3"/>
    <n v="0"/>
  </r>
  <r>
    <n v="1832"/>
    <x v="0"/>
    <d v="2024-06-09T00:00:00"/>
    <s v="No"/>
    <s v="NULL"/>
    <n v="26"/>
    <x v="2"/>
    <n v="0"/>
  </r>
  <r>
    <n v="1837"/>
    <x v="0"/>
    <d v="2024-02-26T00:00:00"/>
    <s v="No"/>
    <s v="NULL"/>
    <n v="29"/>
    <x v="2"/>
    <n v="0"/>
  </r>
  <r>
    <n v="1838"/>
    <x v="0"/>
    <d v="2025-06-07T00:00:00"/>
    <s v="Yes"/>
    <d v="2026-04-27T00:00:00"/>
    <n v="10"/>
    <x v="0"/>
    <n v="1"/>
  </r>
  <r>
    <n v="1843"/>
    <x v="0"/>
    <d v="2024-07-26T00:00:00"/>
    <s v="No"/>
    <s v="NULL"/>
    <n v="24"/>
    <x v="2"/>
    <n v="0"/>
  </r>
  <r>
    <n v="1847"/>
    <x v="0"/>
    <d v="2026-02-24T00:00:00"/>
    <s v="Yes"/>
    <d v="2026-03-26T00:00:00"/>
    <n v="1"/>
    <x v="0"/>
    <n v="1"/>
  </r>
  <r>
    <n v="1853"/>
    <x v="0"/>
    <d v="2024-02-12T00:00:00"/>
    <s v="No"/>
    <s v="NULL"/>
    <n v="30"/>
    <x v="2"/>
    <n v="0"/>
  </r>
  <r>
    <n v="1858"/>
    <x v="0"/>
    <d v="2021-06-08T00:00:00"/>
    <s v="No"/>
    <s v="NULL"/>
    <n v="62"/>
    <x v="1"/>
    <n v="0"/>
  </r>
  <r>
    <n v="1864"/>
    <x v="0"/>
    <d v="2024-10-11T00:00:00"/>
    <s v="No"/>
    <s v="NULL"/>
    <n v="22"/>
    <x v="2"/>
    <n v="0"/>
  </r>
  <r>
    <n v="1865"/>
    <x v="0"/>
    <d v="2024-11-09T00:00:00"/>
    <s v="Yes"/>
    <d v="2025-05-25T00:00:00"/>
    <n v="6"/>
    <x v="0"/>
    <n v="1"/>
  </r>
  <r>
    <n v="1001"/>
    <x v="1"/>
    <d v="2026-04-24T00:00:00"/>
    <s v="Yes"/>
    <d v="2026-05-24T00:00:00"/>
    <n v="1"/>
    <x v="0"/>
    <n v="1"/>
  </r>
  <r>
    <n v="1011"/>
    <x v="1"/>
    <d v="2024-09-20T00:00:00"/>
    <s v="No"/>
    <s v="NULL"/>
    <n v="22"/>
    <x v="2"/>
    <n v="0"/>
  </r>
  <r>
    <n v="1012"/>
    <x v="1"/>
    <d v="2024-09-20T00:00:00"/>
    <s v="Yes"/>
    <d v="2025-04-25T00:00:00"/>
    <n v="7"/>
    <x v="0"/>
    <n v="1"/>
  </r>
  <r>
    <n v="1015"/>
    <x v="1"/>
    <d v="2024-11-01T00:00:00"/>
    <s v="No"/>
    <s v="NULL"/>
    <n v="21"/>
    <x v="2"/>
    <n v="0"/>
  </r>
  <r>
    <n v="1019"/>
    <x v="1"/>
    <d v="2021-12-17T00:00:00"/>
    <s v="No"/>
    <s v="NULL"/>
    <n v="55"/>
    <x v="3"/>
    <n v="0"/>
  </r>
  <r>
    <n v="1041"/>
    <x v="1"/>
    <d v="2026-01-22T00:00:00"/>
    <s v="Yes"/>
    <d v="2026-02-21T00:00:00"/>
    <n v="0"/>
    <x v="0"/>
    <n v="1"/>
  </r>
  <r>
    <n v="1056"/>
    <x v="1"/>
    <d v="2022-02-25T00:00:00"/>
    <s v="No"/>
    <s v="NULL"/>
    <n v="53"/>
    <x v="3"/>
    <n v="0"/>
  </r>
  <r>
    <n v="1057"/>
    <x v="1"/>
    <d v="2025-12-09T00:00:00"/>
    <s v="Yes"/>
    <d v="2026-01-08T00:00:00"/>
    <n v="0"/>
    <x v="0"/>
    <n v="1"/>
  </r>
  <r>
    <n v="1058"/>
    <x v="1"/>
    <d v="2025-11-21T00:00:00"/>
    <s v="No"/>
    <s v="NULL"/>
    <n v="8"/>
    <x v="0"/>
    <n v="0"/>
  </r>
  <r>
    <n v="1074"/>
    <x v="1"/>
    <d v="2024-06-30T00:00:00"/>
    <s v="No"/>
    <s v="NULL"/>
    <n v="25"/>
    <x v="2"/>
    <n v="0"/>
  </r>
  <r>
    <n v="1094"/>
    <x v="1"/>
    <d v="2023-10-02T00:00:00"/>
    <s v="No"/>
    <s v="NULL"/>
    <n v="34"/>
    <x v="2"/>
    <n v="0"/>
  </r>
  <r>
    <n v="1108"/>
    <x v="1"/>
    <d v="2025-08-11T00:00:00"/>
    <s v="No"/>
    <s v="NULL"/>
    <n v="12"/>
    <x v="2"/>
    <n v="0"/>
  </r>
  <r>
    <n v="1117"/>
    <x v="1"/>
    <d v="2024-05-26T00:00:00"/>
    <s v="No"/>
    <s v="NULL"/>
    <n v="26"/>
    <x v="2"/>
    <n v="0"/>
  </r>
  <r>
    <n v="1122"/>
    <x v="1"/>
    <d v="2024-12-30T00:00:00"/>
    <s v="No"/>
    <s v="NULL"/>
    <n v="19"/>
    <x v="2"/>
    <n v="0"/>
  </r>
  <r>
    <n v="1125"/>
    <x v="1"/>
    <d v="2023-02-28T00:00:00"/>
    <s v="No"/>
    <s v="NULL"/>
    <n v="41"/>
    <x v="3"/>
    <n v="0"/>
  </r>
  <r>
    <n v="1127"/>
    <x v="1"/>
    <d v="2025-08-06T00:00:00"/>
    <s v="Yes"/>
    <d v="2025-09-05T00:00:00"/>
    <n v="0"/>
    <x v="0"/>
    <n v="1"/>
  </r>
  <r>
    <n v="1140"/>
    <x v="1"/>
    <d v="2022-02-18T00:00:00"/>
    <s v="Yes"/>
    <d v="2023-08-10T00:00:00"/>
    <n v="17"/>
    <x v="2"/>
    <n v="1"/>
  </r>
  <r>
    <n v="1145"/>
    <x v="1"/>
    <d v="2024-02-04T00:00:00"/>
    <s v="No"/>
    <s v="NULL"/>
    <n v="30"/>
    <x v="2"/>
    <n v="0"/>
  </r>
  <r>
    <n v="1147"/>
    <x v="1"/>
    <d v="2024-10-05T00:00:00"/>
    <s v="No"/>
    <s v="NULL"/>
    <n v="22"/>
    <x v="2"/>
    <n v="0"/>
  </r>
  <r>
    <n v="1152"/>
    <x v="1"/>
    <d v="2024-04-18T00:00:00"/>
    <s v="Yes"/>
    <d v="2025-06-30T00:00:00"/>
    <n v="14"/>
    <x v="2"/>
    <n v="1"/>
  </r>
  <r>
    <n v="1155"/>
    <x v="1"/>
    <d v="2021-06-16T00:00:00"/>
    <s v="No"/>
    <s v="NULL"/>
    <n v="61"/>
    <x v="1"/>
    <n v="0"/>
  </r>
  <r>
    <n v="1161"/>
    <x v="1"/>
    <d v="2022-11-08T00:00:00"/>
    <s v="Yes"/>
    <d v="2024-04-08T00:00:00"/>
    <n v="17"/>
    <x v="2"/>
    <n v="1"/>
  </r>
  <r>
    <n v="1162"/>
    <x v="1"/>
    <d v="2025-12-18T00:00:00"/>
    <s v="No"/>
    <s v="NULL"/>
    <n v="7"/>
    <x v="0"/>
    <n v="0"/>
  </r>
  <r>
    <n v="1172"/>
    <x v="1"/>
    <d v="2022-12-11T00:00:00"/>
    <s v="No"/>
    <s v="NULL"/>
    <n v="44"/>
    <x v="3"/>
    <n v="0"/>
  </r>
  <r>
    <n v="1179"/>
    <x v="1"/>
    <d v="2024-12-12T00:00:00"/>
    <s v="No"/>
    <s v="NULL"/>
    <n v="20"/>
    <x v="2"/>
    <n v="0"/>
  </r>
  <r>
    <n v="1181"/>
    <x v="1"/>
    <d v="2020-12-26T00:00:00"/>
    <s v="No"/>
    <s v="NULL"/>
    <n v="67"/>
    <x v="1"/>
    <n v="0"/>
  </r>
  <r>
    <n v="1189"/>
    <x v="1"/>
    <d v="2023-01-30T00:00:00"/>
    <s v="No"/>
    <s v="NULL"/>
    <n v="42"/>
    <x v="3"/>
    <n v="0"/>
  </r>
  <r>
    <n v="1208"/>
    <x v="1"/>
    <d v="2026-07-20T00:00:00"/>
    <s v="No"/>
    <s v="NULL"/>
    <n v="0"/>
    <x v="0"/>
    <n v="0"/>
  </r>
  <r>
    <n v="1210"/>
    <x v="1"/>
    <d v="2024-06-18T00:00:00"/>
    <s v="Yes"/>
    <d v="2025-12-25T00:00:00"/>
    <n v="18"/>
    <x v="2"/>
    <n v="1"/>
  </r>
  <r>
    <n v="1211"/>
    <x v="1"/>
    <d v="2024-04-14T00:00:00"/>
    <s v="No"/>
    <s v="NULL"/>
    <n v="27"/>
    <x v="2"/>
    <n v="0"/>
  </r>
  <r>
    <n v="1215"/>
    <x v="1"/>
    <d v="2023-10-15T00:00:00"/>
    <s v="No"/>
    <s v="NULL"/>
    <n v="33"/>
    <x v="2"/>
    <n v="0"/>
  </r>
  <r>
    <n v="1223"/>
    <x v="1"/>
    <d v="2023-04-24T00:00:00"/>
    <s v="No"/>
    <s v="NULL"/>
    <n v="39"/>
    <x v="3"/>
    <n v="0"/>
  </r>
  <r>
    <n v="1230"/>
    <x v="1"/>
    <d v="2025-02-06T00:00:00"/>
    <s v="No"/>
    <s v="NULL"/>
    <n v="18"/>
    <x v="2"/>
    <n v="0"/>
  </r>
  <r>
    <n v="1238"/>
    <x v="1"/>
    <d v="2024-12-30T00:00:00"/>
    <s v="Yes"/>
    <d v="2025-12-12T00:00:00"/>
    <n v="11"/>
    <x v="0"/>
    <n v="1"/>
  </r>
  <r>
    <n v="1240"/>
    <x v="1"/>
    <d v="2026-06-25T00:00:00"/>
    <s v="No"/>
    <s v="NULL"/>
    <n v="1"/>
    <x v="0"/>
    <n v="0"/>
  </r>
  <r>
    <n v="1244"/>
    <x v="1"/>
    <d v="2023-01-22T00:00:00"/>
    <s v="Yes"/>
    <d v="2025-02-26T00:00:00"/>
    <n v="25"/>
    <x v="2"/>
    <n v="1"/>
  </r>
  <r>
    <n v="1249"/>
    <x v="1"/>
    <d v="2021-02-08T00:00:00"/>
    <s v="No"/>
    <s v="NULL"/>
    <n v="66"/>
    <x v="1"/>
    <n v="0"/>
  </r>
  <r>
    <n v="1255"/>
    <x v="1"/>
    <d v="2020-12-02T00:00:00"/>
    <s v="No"/>
    <s v="NULL"/>
    <n v="68"/>
    <x v="1"/>
    <n v="0"/>
  </r>
  <r>
    <n v="1274"/>
    <x v="1"/>
    <d v="2022-10-31T00:00:00"/>
    <s v="No"/>
    <s v="NULL"/>
    <n v="45"/>
    <x v="3"/>
    <n v="0"/>
  </r>
  <r>
    <n v="1295"/>
    <x v="1"/>
    <d v="2022-05-04T00:00:00"/>
    <s v="No"/>
    <s v="NULL"/>
    <n v="51"/>
    <x v="3"/>
    <n v="0"/>
  </r>
  <r>
    <n v="1307"/>
    <x v="1"/>
    <d v="2026-01-26T00:00:00"/>
    <s v="No"/>
    <s v="NULL"/>
    <n v="6"/>
    <x v="0"/>
    <n v="0"/>
  </r>
  <r>
    <n v="1317"/>
    <x v="1"/>
    <d v="2021-08-27T00:00:00"/>
    <s v="No"/>
    <s v="NULL"/>
    <n v="59"/>
    <x v="3"/>
    <n v="0"/>
  </r>
  <r>
    <n v="1325"/>
    <x v="1"/>
    <d v="2025-10-08T00:00:00"/>
    <s v="Yes"/>
    <d v="2025-11-07T00:00:00"/>
    <n v="0"/>
    <x v="0"/>
    <n v="1"/>
  </r>
  <r>
    <n v="1326"/>
    <x v="1"/>
    <d v="2022-12-30T00:00:00"/>
    <s v="No"/>
    <s v="NULL"/>
    <n v="43"/>
    <x v="3"/>
    <n v="0"/>
  </r>
  <r>
    <n v="1335"/>
    <x v="1"/>
    <d v="2024-09-09T00:00:00"/>
    <s v="Yes"/>
    <d v="2025-09-22T00:00:00"/>
    <n v="12"/>
    <x v="2"/>
    <n v="1"/>
  </r>
  <r>
    <n v="1337"/>
    <x v="1"/>
    <d v="2024-01-31T00:00:00"/>
    <s v="No"/>
    <s v="NULL"/>
    <n v="30"/>
    <x v="2"/>
    <n v="0"/>
  </r>
  <r>
    <n v="1349"/>
    <x v="1"/>
    <d v="2023-10-24T00:00:00"/>
    <s v="No"/>
    <s v="NULL"/>
    <n v="33"/>
    <x v="2"/>
    <n v="0"/>
  </r>
  <r>
    <n v="1354"/>
    <x v="1"/>
    <d v="2023-03-03T00:00:00"/>
    <s v="No"/>
    <s v="NULL"/>
    <n v="41"/>
    <x v="3"/>
    <n v="0"/>
  </r>
  <r>
    <n v="1390"/>
    <x v="1"/>
    <d v="2024-04-21T00:00:00"/>
    <s v="No"/>
    <s v="NULL"/>
    <n v="27"/>
    <x v="2"/>
    <n v="0"/>
  </r>
  <r>
    <n v="1393"/>
    <x v="1"/>
    <d v="2021-11-15T00:00:00"/>
    <s v="No"/>
    <s v="NULL"/>
    <n v="56"/>
    <x v="3"/>
    <n v="0"/>
  </r>
  <r>
    <n v="1396"/>
    <x v="1"/>
    <d v="2024-12-05T00:00:00"/>
    <s v="No"/>
    <s v="NULL"/>
    <n v="20"/>
    <x v="2"/>
    <n v="0"/>
  </r>
  <r>
    <n v="1398"/>
    <x v="1"/>
    <d v="2023-01-12T00:00:00"/>
    <s v="No"/>
    <s v="NULL"/>
    <n v="43"/>
    <x v="3"/>
    <n v="0"/>
  </r>
  <r>
    <n v="1399"/>
    <x v="1"/>
    <d v="2025-09-06T00:00:00"/>
    <s v="Yes"/>
    <d v="2025-10-06T00:00:00"/>
    <n v="1"/>
    <x v="0"/>
    <n v="1"/>
  </r>
  <r>
    <n v="1410"/>
    <x v="1"/>
    <d v="2026-07-02T00:00:00"/>
    <s v="No"/>
    <s v="NULL"/>
    <n v="1"/>
    <x v="0"/>
    <n v="0"/>
  </r>
  <r>
    <n v="1420"/>
    <x v="1"/>
    <d v="2023-06-22T00:00:00"/>
    <s v="No"/>
    <s v="NULL"/>
    <n v="37"/>
    <x v="3"/>
    <n v="0"/>
  </r>
  <r>
    <n v="1441"/>
    <x v="1"/>
    <d v="2024-11-17T00:00:00"/>
    <s v="No"/>
    <s v="NULL"/>
    <n v="20"/>
    <x v="2"/>
    <n v="0"/>
  </r>
  <r>
    <n v="1442"/>
    <x v="1"/>
    <d v="2024-11-18T00:00:00"/>
    <s v="No"/>
    <s v="NULL"/>
    <n v="20"/>
    <x v="2"/>
    <n v="0"/>
  </r>
  <r>
    <n v="1458"/>
    <x v="1"/>
    <d v="2025-02-04T00:00:00"/>
    <s v="No"/>
    <s v="NULL"/>
    <n v="18"/>
    <x v="2"/>
    <n v="0"/>
  </r>
  <r>
    <n v="1473"/>
    <x v="1"/>
    <d v="2026-01-23T00:00:00"/>
    <s v="No"/>
    <s v="NULL"/>
    <n v="6"/>
    <x v="0"/>
    <n v="0"/>
  </r>
  <r>
    <n v="1474"/>
    <x v="1"/>
    <d v="2025-04-08T00:00:00"/>
    <s v="Yes"/>
    <d v="2025-10-12T00:00:00"/>
    <n v="6"/>
    <x v="0"/>
    <n v="1"/>
  </r>
  <r>
    <n v="1492"/>
    <x v="1"/>
    <d v="2026-03-27T00:00:00"/>
    <s v="No"/>
    <s v="NULL"/>
    <n v="4"/>
    <x v="0"/>
    <n v="0"/>
  </r>
  <r>
    <n v="1504"/>
    <x v="1"/>
    <d v="2022-07-08T00:00:00"/>
    <s v="No"/>
    <s v="NULL"/>
    <n v="49"/>
    <x v="3"/>
    <n v="0"/>
  </r>
  <r>
    <n v="1519"/>
    <x v="1"/>
    <d v="2023-12-13T00:00:00"/>
    <s v="No"/>
    <s v="NULL"/>
    <n v="32"/>
    <x v="2"/>
    <n v="0"/>
  </r>
  <r>
    <n v="1526"/>
    <x v="1"/>
    <d v="2022-02-15T00:00:00"/>
    <s v="Yes"/>
    <d v="2026-01-16T00:00:00"/>
    <n v="47"/>
    <x v="3"/>
    <n v="1"/>
  </r>
  <r>
    <n v="1530"/>
    <x v="1"/>
    <d v="2025-07-11T00:00:00"/>
    <s v="No"/>
    <s v="NULL"/>
    <n v="13"/>
    <x v="2"/>
    <n v="0"/>
  </r>
  <r>
    <n v="1542"/>
    <x v="1"/>
    <d v="2024-11-04T00:00:00"/>
    <s v="No"/>
    <s v="NULL"/>
    <n v="21"/>
    <x v="2"/>
    <n v="0"/>
  </r>
  <r>
    <n v="1548"/>
    <x v="1"/>
    <d v="2024-08-20T00:00:00"/>
    <s v="No"/>
    <s v="NULL"/>
    <n v="23"/>
    <x v="2"/>
    <n v="0"/>
  </r>
  <r>
    <n v="1550"/>
    <x v="1"/>
    <d v="2022-11-21T00:00:00"/>
    <s v="No"/>
    <s v="NULL"/>
    <n v="44"/>
    <x v="3"/>
    <n v="0"/>
  </r>
  <r>
    <n v="1552"/>
    <x v="1"/>
    <d v="2025-09-14T00:00:00"/>
    <s v="Yes"/>
    <d v="2025-10-14T00:00:00"/>
    <n v="1"/>
    <x v="0"/>
    <n v="1"/>
  </r>
  <r>
    <n v="1560"/>
    <x v="1"/>
    <d v="2024-11-19T00:00:00"/>
    <s v="No"/>
    <s v="NULL"/>
    <n v="20"/>
    <x v="2"/>
    <n v="0"/>
  </r>
  <r>
    <n v="1570"/>
    <x v="1"/>
    <d v="2024-10-12T00:00:00"/>
    <s v="No"/>
    <s v="NULL"/>
    <n v="22"/>
    <x v="2"/>
    <n v="0"/>
  </r>
  <r>
    <n v="1580"/>
    <x v="1"/>
    <d v="2024-08-21T00:00:00"/>
    <s v="No"/>
    <s v="NULL"/>
    <n v="23"/>
    <x v="2"/>
    <n v="0"/>
  </r>
  <r>
    <n v="1586"/>
    <x v="1"/>
    <d v="2024-10-20T00:00:00"/>
    <s v="No"/>
    <s v="NULL"/>
    <n v="21"/>
    <x v="2"/>
    <n v="0"/>
  </r>
  <r>
    <n v="1592"/>
    <x v="1"/>
    <d v="2024-05-05T00:00:00"/>
    <s v="Yes"/>
    <d v="2026-04-17T00:00:00"/>
    <n v="23"/>
    <x v="2"/>
    <n v="1"/>
  </r>
  <r>
    <n v="1602"/>
    <x v="1"/>
    <d v="2023-01-13T00:00:00"/>
    <s v="No"/>
    <s v="NULL"/>
    <n v="43"/>
    <x v="3"/>
    <n v="0"/>
  </r>
  <r>
    <n v="1608"/>
    <x v="1"/>
    <d v="2024-05-29T00:00:00"/>
    <s v="No"/>
    <s v="NULL"/>
    <n v="26"/>
    <x v="2"/>
    <n v="0"/>
  </r>
  <r>
    <n v="1610"/>
    <x v="1"/>
    <d v="2021-12-22T00:00:00"/>
    <s v="No"/>
    <s v="NULL"/>
    <n v="55"/>
    <x v="3"/>
    <n v="0"/>
  </r>
  <r>
    <n v="1653"/>
    <x v="1"/>
    <d v="2022-11-28T00:00:00"/>
    <s v="No"/>
    <s v="NULL"/>
    <n v="44"/>
    <x v="3"/>
    <n v="0"/>
  </r>
  <r>
    <n v="1654"/>
    <x v="1"/>
    <d v="2026-03-07T00:00:00"/>
    <s v="Yes"/>
    <d v="2026-04-06T00:00:00"/>
    <n v="0"/>
    <x v="0"/>
    <n v="1"/>
  </r>
  <r>
    <n v="1684"/>
    <x v="1"/>
    <d v="2022-07-07T00:00:00"/>
    <s v="Yes"/>
    <d v="2024-10-07T00:00:00"/>
    <n v="27"/>
    <x v="2"/>
    <n v="1"/>
  </r>
  <r>
    <n v="1689"/>
    <x v="1"/>
    <d v="2022-07-03T00:00:00"/>
    <s v="Yes"/>
    <d v="2025-08-31T00:00:00"/>
    <n v="37"/>
    <x v="3"/>
    <n v="1"/>
  </r>
  <r>
    <n v="1705"/>
    <x v="1"/>
    <d v="2024-10-07T00:00:00"/>
    <s v="No"/>
    <s v="NULL"/>
    <n v="22"/>
    <x v="2"/>
    <n v="0"/>
  </r>
  <r>
    <n v="1709"/>
    <x v="1"/>
    <d v="2026-03-04T00:00:00"/>
    <s v="No"/>
    <s v="NULL"/>
    <n v="5"/>
    <x v="0"/>
    <n v="0"/>
  </r>
  <r>
    <n v="1716"/>
    <x v="1"/>
    <d v="2024-02-19T00:00:00"/>
    <s v="No"/>
    <s v="NULL"/>
    <n v="29"/>
    <x v="2"/>
    <n v="0"/>
  </r>
  <r>
    <n v="1722"/>
    <x v="1"/>
    <d v="2025-12-02T00:00:00"/>
    <s v="No"/>
    <s v="NULL"/>
    <n v="8"/>
    <x v="0"/>
    <n v="0"/>
  </r>
  <r>
    <n v="1734"/>
    <x v="1"/>
    <d v="2025-08-08T00:00:00"/>
    <s v="No"/>
    <s v="NULL"/>
    <n v="12"/>
    <x v="2"/>
    <n v="0"/>
  </r>
  <r>
    <n v="1735"/>
    <x v="1"/>
    <d v="2026-04-26T00:00:00"/>
    <s v="Yes"/>
    <d v="2026-05-26T00:00:00"/>
    <n v="1"/>
    <x v="0"/>
    <n v="1"/>
  </r>
  <r>
    <n v="1738"/>
    <x v="1"/>
    <d v="2023-03-22T00:00:00"/>
    <s v="Yes"/>
    <d v="2024-07-11T00:00:00"/>
    <n v="15"/>
    <x v="2"/>
    <n v="1"/>
  </r>
  <r>
    <n v="1748"/>
    <x v="1"/>
    <d v="2023-10-11T00:00:00"/>
    <s v="No"/>
    <s v="NULL"/>
    <n v="34"/>
    <x v="2"/>
    <n v="0"/>
  </r>
  <r>
    <n v="1750"/>
    <x v="1"/>
    <d v="2025-06-09T00:00:00"/>
    <s v="No"/>
    <s v="NULL"/>
    <n v="14"/>
    <x v="2"/>
    <n v="0"/>
  </r>
  <r>
    <n v="1759"/>
    <x v="1"/>
    <d v="2023-04-18T00:00:00"/>
    <s v="No"/>
    <s v="NULL"/>
    <n v="39"/>
    <x v="3"/>
    <n v="0"/>
  </r>
  <r>
    <n v="1772"/>
    <x v="1"/>
    <d v="2025-03-07T00:00:00"/>
    <s v="No"/>
    <s v="NULL"/>
    <n v="17"/>
    <x v="2"/>
    <n v="0"/>
  </r>
  <r>
    <n v="1775"/>
    <x v="1"/>
    <d v="2025-05-17T00:00:00"/>
    <s v="No"/>
    <s v="NULL"/>
    <n v="14"/>
    <x v="2"/>
    <n v="0"/>
  </r>
  <r>
    <n v="1782"/>
    <x v="1"/>
    <d v="2022-07-12T00:00:00"/>
    <s v="No"/>
    <s v="NULL"/>
    <n v="49"/>
    <x v="3"/>
    <n v="0"/>
  </r>
  <r>
    <n v="1783"/>
    <x v="1"/>
    <d v="2026-06-22T00:00:00"/>
    <s v="No"/>
    <s v="NULL"/>
    <n v="1"/>
    <x v="0"/>
    <n v="0"/>
  </r>
  <r>
    <n v="1793"/>
    <x v="1"/>
    <d v="2023-02-16T00:00:00"/>
    <s v="No"/>
    <s v="NULL"/>
    <n v="41"/>
    <x v="3"/>
    <n v="0"/>
  </r>
  <r>
    <n v="1803"/>
    <x v="1"/>
    <d v="2024-03-29T00:00:00"/>
    <s v="No"/>
    <s v="NULL"/>
    <n v="28"/>
    <x v="2"/>
    <n v="0"/>
  </r>
  <r>
    <n v="1808"/>
    <x v="1"/>
    <d v="2025-09-09T00:00:00"/>
    <s v="No"/>
    <s v="NULL"/>
    <n v="11"/>
    <x v="0"/>
    <n v="0"/>
  </r>
  <r>
    <n v="1829"/>
    <x v="1"/>
    <d v="2022-10-21T00:00:00"/>
    <s v="No"/>
    <s v="NULL"/>
    <n v="45"/>
    <x v="3"/>
    <n v="0"/>
  </r>
  <r>
    <n v="1849"/>
    <x v="1"/>
    <d v="2023-08-15T00:00:00"/>
    <s v="Yes"/>
    <d v="2025-09-05T00:00:00"/>
    <n v="24"/>
    <x v="2"/>
    <n v="1"/>
  </r>
  <r>
    <n v="1856"/>
    <x v="1"/>
    <d v="2025-08-23T00:00:00"/>
    <s v="Yes"/>
    <d v="2025-09-22T00:00:00"/>
    <n v="0"/>
    <x v="0"/>
    <n v="1"/>
  </r>
  <r>
    <n v="1862"/>
    <x v="1"/>
    <d v="2021-04-21T00:00:00"/>
    <s v="No"/>
    <s v="NULL"/>
    <n v="63"/>
    <x v="1"/>
    <n v="0"/>
  </r>
  <r>
    <n v="1863"/>
    <x v="1"/>
    <d v="2024-11-27T00:00:00"/>
    <s v="No"/>
    <s v="NULL"/>
    <n v="20"/>
    <x v="2"/>
    <n v="0"/>
  </r>
  <r>
    <n v="1021"/>
    <x v="2"/>
    <d v="2023-04-04T00:00:00"/>
    <s v="Yes"/>
    <d v="2024-05-30T00:00:00"/>
    <n v="13"/>
    <x v="2"/>
    <n v="1"/>
  </r>
  <r>
    <n v="1043"/>
    <x v="2"/>
    <d v="2025-02-09T00:00:00"/>
    <s v="No"/>
    <s v="NULL"/>
    <n v="18"/>
    <x v="2"/>
    <n v="0"/>
  </r>
  <r>
    <n v="1050"/>
    <x v="2"/>
    <d v="2025-08-27T00:00:00"/>
    <s v="Yes"/>
    <d v="2025-09-26T00:00:00"/>
    <n v="0"/>
    <x v="0"/>
    <n v="1"/>
  </r>
  <r>
    <n v="1059"/>
    <x v="2"/>
    <d v="2025-05-24T00:00:00"/>
    <s v="No"/>
    <s v="NULL"/>
    <n v="14"/>
    <x v="2"/>
    <n v="0"/>
  </r>
  <r>
    <n v="1078"/>
    <x v="2"/>
    <d v="2023-05-15T00:00:00"/>
    <s v="No"/>
    <s v="NULL"/>
    <n v="38"/>
    <x v="3"/>
    <n v="0"/>
  </r>
  <r>
    <n v="1144"/>
    <x v="2"/>
    <d v="2023-02-05T00:00:00"/>
    <s v="Yes"/>
    <d v="2025-09-23T00:00:00"/>
    <n v="31"/>
    <x v="2"/>
    <n v="1"/>
  </r>
  <r>
    <n v="1149"/>
    <x v="2"/>
    <d v="2024-05-09T00:00:00"/>
    <s v="No"/>
    <s v="NULL"/>
    <n v="27"/>
    <x v="2"/>
    <n v="0"/>
  </r>
  <r>
    <n v="1173"/>
    <x v="2"/>
    <d v="2024-10-29T00:00:00"/>
    <s v="No"/>
    <s v="NULL"/>
    <n v="21"/>
    <x v="2"/>
    <n v="0"/>
  </r>
  <r>
    <n v="1174"/>
    <x v="2"/>
    <d v="2024-09-29T00:00:00"/>
    <s v="No"/>
    <s v="NULL"/>
    <n v="22"/>
    <x v="2"/>
    <n v="0"/>
  </r>
  <r>
    <n v="1196"/>
    <x v="2"/>
    <d v="2025-02-08T00:00:00"/>
    <s v="No"/>
    <s v="NULL"/>
    <n v="18"/>
    <x v="2"/>
    <n v="0"/>
  </r>
  <r>
    <n v="1205"/>
    <x v="2"/>
    <d v="2024-12-03T00:00:00"/>
    <s v="No"/>
    <s v="NULL"/>
    <n v="20"/>
    <x v="2"/>
    <n v="0"/>
  </r>
  <r>
    <n v="1207"/>
    <x v="2"/>
    <d v="2024-01-22T00:00:00"/>
    <s v="No"/>
    <s v="NULL"/>
    <n v="30"/>
    <x v="2"/>
    <n v="0"/>
  </r>
  <r>
    <n v="1212"/>
    <x v="2"/>
    <d v="2023-05-30T00:00:00"/>
    <s v="No"/>
    <s v="NULL"/>
    <n v="38"/>
    <x v="3"/>
    <n v="0"/>
  </r>
  <r>
    <n v="1257"/>
    <x v="2"/>
    <d v="2020-06-10T00:00:00"/>
    <s v="Yes"/>
    <d v="2022-06-27T00:00:00"/>
    <n v="24"/>
    <x v="2"/>
    <n v="1"/>
  </r>
  <r>
    <n v="1271"/>
    <x v="2"/>
    <d v="2025-06-03T00:00:00"/>
    <s v="Yes"/>
    <d v="2025-11-12T00:00:00"/>
    <n v="5"/>
    <x v="0"/>
    <n v="1"/>
  </r>
  <r>
    <n v="1303"/>
    <x v="2"/>
    <d v="2026-04-09T00:00:00"/>
    <s v="No"/>
    <s v="NULL"/>
    <n v="4"/>
    <x v="0"/>
    <n v="0"/>
  </r>
  <r>
    <n v="1310"/>
    <x v="2"/>
    <d v="2025-08-10T00:00:00"/>
    <s v="No"/>
    <s v="NULL"/>
    <n v="12"/>
    <x v="2"/>
    <n v="0"/>
  </r>
  <r>
    <n v="1328"/>
    <x v="2"/>
    <d v="2026-06-14T00:00:00"/>
    <s v="No"/>
    <s v="NULL"/>
    <n v="1"/>
    <x v="0"/>
    <n v="0"/>
  </r>
  <r>
    <n v="1344"/>
    <x v="2"/>
    <d v="2024-11-06T00:00:00"/>
    <s v="Yes"/>
    <d v="2025-05-11T00:00:00"/>
    <n v="6"/>
    <x v="0"/>
    <n v="1"/>
  </r>
  <r>
    <n v="1345"/>
    <x v="2"/>
    <d v="2023-08-10T00:00:00"/>
    <s v="Yes"/>
    <d v="2025-09-05T00:00:00"/>
    <n v="24"/>
    <x v="2"/>
    <n v="1"/>
  </r>
  <r>
    <n v="1351"/>
    <x v="2"/>
    <d v="2023-07-14T00:00:00"/>
    <s v="No"/>
    <s v="NULL"/>
    <n v="36"/>
    <x v="3"/>
    <n v="0"/>
  </r>
  <r>
    <n v="1362"/>
    <x v="2"/>
    <d v="2024-05-03T00:00:00"/>
    <s v="No"/>
    <s v="NULL"/>
    <n v="27"/>
    <x v="2"/>
    <n v="0"/>
  </r>
  <r>
    <n v="1388"/>
    <x v="2"/>
    <d v="2021-10-15T00:00:00"/>
    <s v="No"/>
    <s v="NULL"/>
    <n v="57"/>
    <x v="3"/>
    <n v="0"/>
  </r>
  <r>
    <n v="1391"/>
    <x v="2"/>
    <d v="2021-11-15T00:00:00"/>
    <s v="No"/>
    <s v="NULL"/>
    <n v="56"/>
    <x v="3"/>
    <n v="0"/>
  </r>
  <r>
    <n v="1404"/>
    <x v="2"/>
    <d v="2025-05-08T00:00:00"/>
    <s v="Yes"/>
    <d v="2025-10-30T00:00:00"/>
    <n v="5"/>
    <x v="0"/>
    <n v="1"/>
  </r>
  <r>
    <n v="1408"/>
    <x v="2"/>
    <d v="2021-11-08T00:00:00"/>
    <s v="No"/>
    <s v="NULL"/>
    <n v="57"/>
    <x v="3"/>
    <n v="0"/>
  </r>
  <r>
    <n v="1409"/>
    <x v="2"/>
    <d v="2024-12-26T00:00:00"/>
    <s v="No"/>
    <s v="NULL"/>
    <n v="19"/>
    <x v="2"/>
    <n v="0"/>
  </r>
  <r>
    <n v="1415"/>
    <x v="2"/>
    <d v="2024-08-20T00:00:00"/>
    <s v="No"/>
    <s v="NULL"/>
    <n v="23"/>
    <x v="2"/>
    <n v="0"/>
  </r>
  <r>
    <n v="1430"/>
    <x v="2"/>
    <d v="2025-03-10T00:00:00"/>
    <s v="Yes"/>
    <d v="2026-04-07T00:00:00"/>
    <n v="12"/>
    <x v="2"/>
    <n v="1"/>
  </r>
  <r>
    <n v="1445"/>
    <x v="2"/>
    <d v="2021-11-06T00:00:00"/>
    <s v="No"/>
    <s v="NULL"/>
    <n v="57"/>
    <x v="3"/>
    <n v="0"/>
  </r>
  <r>
    <n v="1450"/>
    <x v="2"/>
    <d v="2024-01-07T00:00:00"/>
    <s v="Yes"/>
    <d v="2024-10-10T00:00:00"/>
    <n v="9"/>
    <x v="0"/>
    <n v="1"/>
  </r>
  <r>
    <n v="1465"/>
    <x v="2"/>
    <d v="2021-04-22T00:00:00"/>
    <s v="No"/>
    <s v="NULL"/>
    <n v="63"/>
    <x v="1"/>
    <n v="0"/>
  </r>
  <r>
    <n v="1470"/>
    <x v="2"/>
    <d v="2023-01-27T00:00:00"/>
    <s v="No"/>
    <s v="NULL"/>
    <n v="42"/>
    <x v="3"/>
    <n v="0"/>
  </r>
  <r>
    <n v="1478"/>
    <x v="2"/>
    <d v="2025-02-07T00:00:00"/>
    <s v="No"/>
    <s v="NULL"/>
    <n v="18"/>
    <x v="2"/>
    <n v="0"/>
  </r>
  <r>
    <n v="1506"/>
    <x v="2"/>
    <d v="2024-02-18T00:00:00"/>
    <s v="No"/>
    <s v="NULL"/>
    <n v="29"/>
    <x v="2"/>
    <n v="0"/>
  </r>
  <r>
    <n v="1515"/>
    <x v="2"/>
    <d v="2023-07-31T00:00:00"/>
    <s v="No"/>
    <s v="NULL"/>
    <n v="36"/>
    <x v="3"/>
    <n v="0"/>
  </r>
  <r>
    <n v="1520"/>
    <x v="2"/>
    <d v="2024-05-11T00:00:00"/>
    <s v="No"/>
    <s v="NULL"/>
    <n v="27"/>
    <x v="2"/>
    <n v="0"/>
  </r>
  <r>
    <n v="1535"/>
    <x v="2"/>
    <d v="2023-09-05T00:00:00"/>
    <s v="No"/>
    <s v="NULL"/>
    <n v="35"/>
    <x v="2"/>
    <n v="0"/>
  </r>
  <r>
    <n v="1571"/>
    <x v="2"/>
    <d v="2024-12-22T00:00:00"/>
    <s v="No"/>
    <s v="NULL"/>
    <n v="19"/>
    <x v="2"/>
    <n v="0"/>
  </r>
  <r>
    <n v="1575"/>
    <x v="2"/>
    <d v="2023-09-08T00:00:00"/>
    <s v="No"/>
    <s v="NULL"/>
    <n v="35"/>
    <x v="2"/>
    <n v="0"/>
  </r>
  <r>
    <n v="1591"/>
    <x v="2"/>
    <d v="2026-06-04T00:00:00"/>
    <s v="No"/>
    <s v="NULL"/>
    <n v="2"/>
    <x v="0"/>
    <n v="0"/>
  </r>
  <r>
    <n v="1594"/>
    <x v="2"/>
    <d v="2025-01-12T00:00:00"/>
    <s v="No"/>
    <s v="NULL"/>
    <n v="19"/>
    <x v="2"/>
    <n v="0"/>
  </r>
  <r>
    <n v="1618"/>
    <x v="2"/>
    <d v="2026-06-08T00:00:00"/>
    <s v="Yes"/>
    <d v="2026-07-08T00:00:00"/>
    <n v="1"/>
    <x v="0"/>
    <n v="1"/>
  </r>
  <r>
    <n v="1634"/>
    <x v="2"/>
    <d v="2023-09-17T00:00:00"/>
    <s v="No"/>
    <s v="NULL"/>
    <n v="34"/>
    <x v="2"/>
    <n v="0"/>
  </r>
  <r>
    <n v="1643"/>
    <x v="2"/>
    <d v="2020-03-06T00:00:00"/>
    <s v="No"/>
    <s v="NULL"/>
    <n v="77"/>
    <x v="1"/>
    <n v="0"/>
  </r>
  <r>
    <n v="1665"/>
    <x v="2"/>
    <d v="2026-03-06T00:00:00"/>
    <s v="No"/>
    <s v="NULL"/>
    <n v="5"/>
    <x v="0"/>
    <n v="0"/>
  </r>
  <r>
    <n v="1670"/>
    <x v="2"/>
    <d v="2026-07-08T00:00:00"/>
    <s v="No"/>
    <s v="NULL"/>
    <n v="1"/>
    <x v="0"/>
    <n v="0"/>
  </r>
  <r>
    <n v="1679"/>
    <x v="2"/>
    <d v="2024-10-15T00:00:00"/>
    <s v="No"/>
    <s v="NULL"/>
    <n v="21"/>
    <x v="2"/>
    <n v="0"/>
  </r>
  <r>
    <n v="1687"/>
    <x v="2"/>
    <d v="2026-03-31T00:00:00"/>
    <s v="No"/>
    <s v="NULL"/>
    <n v="4"/>
    <x v="0"/>
    <n v="0"/>
  </r>
  <r>
    <n v="1691"/>
    <x v="2"/>
    <d v="2024-04-24T00:00:00"/>
    <s v="No"/>
    <s v="NULL"/>
    <n v="27"/>
    <x v="2"/>
    <n v="0"/>
  </r>
  <r>
    <n v="1702"/>
    <x v="2"/>
    <d v="2024-12-27T00:00:00"/>
    <s v="No"/>
    <s v="NULL"/>
    <n v="19"/>
    <x v="2"/>
    <n v="0"/>
  </r>
  <r>
    <n v="1717"/>
    <x v="2"/>
    <d v="2022-03-18T00:00:00"/>
    <s v="No"/>
    <s v="NULL"/>
    <n v="52"/>
    <x v="3"/>
    <n v="0"/>
  </r>
  <r>
    <n v="1721"/>
    <x v="2"/>
    <d v="2021-01-08T00:00:00"/>
    <s v="No"/>
    <s v="NULL"/>
    <n v="67"/>
    <x v="1"/>
    <n v="0"/>
  </r>
  <r>
    <n v="1724"/>
    <x v="2"/>
    <d v="2025-12-31T00:00:00"/>
    <s v="No"/>
    <s v="NULL"/>
    <n v="7"/>
    <x v="0"/>
    <n v="0"/>
  </r>
  <r>
    <n v="1732"/>
    <x v="2"/>
    <d v="2023-07-01T00:00:00"/>
    <s v="Yes"/>
    <d v="2024-09-08T00:00:00"/>
    <n v="14"/>
    <x v="2"/>
    <n v="1"/>
  </r>
  <r>
    <n v="1741"/>
    <x v="2"/>
    <d v="2020-08-23T00:00:00"/>
    <s v="No"/>
    <s v="NULL"/>
    <n v="71"/>
    <x v="1"/>
    <n v="0"/>
  </r>
  <r>
    <n v="1752"/>
    <x v="2"/>
    <d v="2024-08-27T00:00:00"/>
    <s v="Yes"/>
    <d v="2025-06-29T00:00:00"/>
    <n v="10"/>
    <x v="0"/>
    <n v="1"/>
  </r>
  <r>
    <n v="1754"/>
    <x v="2"/>
    <d v="2024-04-18T00:00:00"/>
    <s v="No"/>
    <s v="NULL"/>
    <n v="27"/>
    <x v="2"/>
    <n v="0"/>
  </r>
  <r>
    <n v="1761"/>
    <x v="2"/>
    <d v="2022-12-23T00:00:00"/>
    <s v="No"/>
    <s v="NULL"/>
    <n v="43"/>
    <x v="3"/>
    <n v="0"/>
  </r>
  <r>
    <n v="1762"/>
    <x v="2"/>
    <d v="2024-05-16T00:00:00"/>
    <s v="Yes"/>
    <d v="2025-01-21T00:00:00"/>
    <n v="8"/>
    <x v="0"/>
    <n v="1"/>
  </r>
  <r>
    <n v="1765"/>
    <x v="2"/>
    <d v="2021-08-09T00:00:00"/>
    <s v="No"/>
    <s v="NULL"/>
    <n v="60"/>
    <x v="1"/>
    <n v="0"/>
  </r>
  <r>
    <n v="1787"/>
    <x v="2"/>
    <d v="2024-05-18T00:00:00"/>
    <s v="No"/>
    <s v="NULL"/>
    <n v="26"/>
    <x v="2"/>
    <n v="0"/>
  </r>
  <r>
    <n v="1792"/>
    <x v="2"/>
    <d v="2024-05-07T00:00:00"/>
    <s v="No"/>
    <s v="NULL"/>
    <n v="27"/>
    <x v="2"/>
    <n v="0"/>
  </r>
  <r>
    <n v="1797"/>
    <x v="2"/>
    <d v="2024-12-31T00:00:00"/>
    <s v="No"/>
    <s v="NULL"/>
    <n v="19"/>
    <x v="2"/>
    <n v="0"/>
  </r>
  <r>
    <n v="1806"/>
    <x v="2"/>
    <d v="2026-03-01T00:00:00"/>
    <s v="Yes"/>
    <d v="2026-03-31T00:00:00"/>
    <n v="0"/>
    <x v="0"/>
    <n v="1"/>
  </r>
  <r>
    <n v="1827"/>
    <x v="2"/>
    <d v="2023-11-22T00:00:00"/>
    <s v="No"/>
    <s v="NULL"/>
    <n v="32"/>
    <x v="2"/>
    <n v="0"/>
  </r>
  <r>
    <n v="1828"/>
    <x v="2"/>
    <d v="2023-08-21T00:00:00"/>
    <s v="No"/>
    <s v="NULL"/>
    <n v="35"/>
    <x v="2"/>
    <n v="0"/>
  </r>
  <r>
    <n v="1835"/>
    <x v="2"/>
    <d v="2023-11-25T00:00:00"/>
    <s v="No"/>
    <s v="NULL"/>
    <n v="32"/>
    <x v="2"/>
    <n v="0"/>
  </r>
  <r>
    <n v="1841"/>
    <x v="2"/>
    <d v="2024-10-31T00:00:00"/>
    <s v="Yes"/>
    <d v="2025-06-21T00:00:00"/>
    <n v="7"/>
    <x v="0"/>
    <n v="1"/>
  </r>
  <r>
    <n v="1842"/>
    <x v="2"/>
    <d v="2025-10-16T00:00:00"/>
    <s v="No"/>
    <s v="NULL"/>
    <n v="9"/>
    <x v="0"/>
    <n v="0"/>
  </r>
  <r>
    <n v="1860"/>
    <x v="2"/>
    <d v="2020-09-17T00:00:00"/>
    <s v="No"/>
    <s v="NULL"/>
    <n v="70"/>
    <x v="1"/>
    <n v="0"/>
  </r>
  <r>
    <n v="1002"/>
    <x v="3"/>
    <d v="2025-01-27T00:00:00"/>
    <s v="No"/>
    <s v="NULL"/>
    <n v="18"/>
    <x v="2"/>
    <n v="0"/>
  </r>
  <r>
    <n v="1005"/>
    <x v="3"/>
    <d v="2023-10-02T00:00:00"/>
    <s v="No"/>
    <s v="NULL"/>
    <n v="34"/>
    <x v="2"/>
    <n v="0"/>
  </r>
  <r>
    <n v="1014"/>
    <x v="3"/>
    <d v="2023-03-02T00:00:00"/>
    <s v="No"/>
    <s v="NULL"/>
    <n v="41"/>
    <x v="3"/>
    <n v="0"/>
  </r>
  <r>
    <n v="1020"/>
    <x v="3"/>
    <d v="2024-04-28T00:00:00"/>
    <s v="No"/>
    <s v="NULL"/>
    <n v="27"/>
    <x v="2"/>
    <n v="0"/>
  </r>
  <r>
    <n v="1027"/>
    <x v="3"/>
    <d v="2022-09-19T00:00:00"/>
    <s v="No"/>
    <s v="NULL"/>
    <n v="46"/>
    <x v="3"/>
    <n v="0"/>
  </r>
  <r>
    <n v="1028"/>
    <x v="3"/>
    <d v="2023-08-21T00:00:00"/>
    <s v="No"/>
    <s v="NULL"/>
    <n v="35"/>
    <x v="2"/>
    <n v="0"/>
  </r>
  <r>
    <n v="1036"/>
    <x v="3"/>
    <d v="2024-09-28T00:00:00"/>
    <s v="No"/>
    <s v="NULL"/>
    <n v="22"/>
    <x v="2"/>
    <n v="0"/>
  </r>
  <r>
    <n v="1044"/>
    <x v="3"/>
    <d v="2023-09-23T00:00:00"/>
    <s v="No"/>
    <s v="NULL"/>
    <n v="34"/>
    <x v="2"/>
    <n v="0"/>
  </r>
  <r>
    <n v="1045"/>
    <x v="3"/>
    <d v="2025-03-24T00:00:00"/>
    <s v="Yes"/>
    <d v="2025-12-12T00:00:00"/>
    <n v="8"/>
    <x v="0"/>
    <n v="1"/>
  </r>
  <r>
    <n v="1049"/>
    <x v="3"/>
    <d v="2023-09-22T00:00:00"/>
    <s v="No"/>
    <s v="NULL"/>
    <n v="34"/>
    <x v="2"/>
    <n v="0"/>
  </r>
  <r>
    <n v="1064"/>
    <x v="3"/>
    <d v="2022-09-07T00:00:00"/>
    <s v="Yes"/>
    <d v="2025-06-29T00:00:00"/>
    <n v="33"/>
    <x v="2"/>
    <n v="1"/>
  </r>
  <r>
    <n v="1068"/>
    <x v="3"/>
    <d v="2025-07-11T00:00:00"/>
    <s v="No"/>
    <s v="NULL"/>
    <n v="13"/>
    <x v="2"/>
    <n v="0"/>
  </r>
  <r>
    <n v="1075"/>
    <x v="3"/>
    <d v="2025-05-05T00:00:00"/>
    <s v="No"/>
    <s v="NULL"/>
    <n v="15"/>
    <x v="2"/>
    <n v="0"/>
  </r>
  <r>
    <n v="1082"/>
    <x v="3"/>
    <d v="2023-05-16T00:00:00"/>
    <s v="No"/>
    <s v="NULL"/>
    <n v="38"/>
    <x v="3"/>
    <n v="0"/>
  </r>
  <r>
    <n v="1085"/>
    <x v="3"/>
    <d v="2022-05-21T00:00:00"/>
    <s v="No"/>
    <s v="NULL"/>
    <n v="50"/>
    <x v="3"/>
    <n v="0"/>
  </r>
  <r>
    <n v="1086"/>
    <x v="3"/>
    <d v="2026-01-29T00:00:00"/>
    <s v="No"/>
    <s v="NULL"/>
    <n v="6"/>
    <x v="0"/>
    <n v="0"/>
  </r>
  <r>
    <n v="1087"/>
    <x v="3"/>
    <d v="2024-03-14T00:00:00"/>
    <s v="Yes"/>
    <d v="2025-11-29T00:00:00"/>
    <n v="20"/>
    <x v="2"/>
    <n v="1"/>
  </r>
  <r>
    <n v="1090"/>
    <x v="3"/>
    <d v="2024-02-19T00:00:00"/>
    <s v="No"/>
    <s v="NULL"/>
    <n v="29"/>
    <x v="2"/>
    <n v="0"/>
  </r>
  <r>
    <n v="1091"/>
    <x v="3"/>
    <d v="2025-02-21T00:00:00"/>
    <s v="No"/>
    <s v="NULL"/>
    <n v="17"/>
    <x v="2"/>
    <n v="0"/>
  </r>
  <r>
    <n v="1095"/>
    <x v="3"/>
    <d v="2022-09-20T00:00:00"/>
    <s v="Yes"/>
    <d v="2024-12-15T00:00:00"/>
    <n v="26"/>
    <x v="2"/>
    <n v="1"/>
  </r>
  <r>
    <n v="1097"/>
    <x v="3"/>
    <d v="2023-05-09T00:00:00"/>
    <s v="No"/>
    <s v="NULL"/>
    <n v="39"/>
    <x v="3"/>
    <n v="0"/>
  </r>
  <r>
    <n v="1099"/>
    <x v="3"/>
    <d v="2021-03-01T00:00:00"/>
    <s v="No"/>
    <s v="NULL"/>
    <n v="65"/>
    <x v="1"/>
    <n v="0"/>
  </r>
  <r>
    <n v="1110"/>
    <x v="3"/>
    <d v="2025-01-01T00:00:00"/>
    <s v="No"/>
    <s v="NULL"/>
    <n v="19"/>
    <x v="2"/>
    <n v="0"/>
  </r>
  <r>
    <n v="1124"/>
    <x v="3"/>
    <d v="2023-06-27T00:00:00"/>
    <s v="No"/>
    <s v="NULL"/>
    <n v="37"/>
    <x v="3"/>
    <n v="0"/>
  </r>
  <r>
    <n v="1133"/>
    <x v="3"/>
    <d v="2022-12-17T00:00:00"/>
    <s v="No"/>
    <s v="NULL"/>
    <n v="43"/>
    <x v="3"/>
    <n v="0"/>
  </r>
  <r>
    <n v="1136"/>
    <x v="3"/>
    <d v="2022-07-14T00:00:00"/>
    <s v="No"/>
    <s v="NULL"/>
    <n v="48"/>
    <x v="3"/>
    <n v="0"/>
  </r>
  <r>
    <n v="1138"/>
    <x v="3"/>
    <d v="2024-07-22T00:00:00"/>
    <s v="Yes"/>
    <d v="2025-04-01T00:00:00"/>
    <n v="8"/>
    <x v="0"/>
    <n v="1"/>
  </r>
  <r>
    <n v="1139"/>
    <x v="3"/>
    <d v="2022-02-18T00:00:00"/>
    <s v="No"/>
    <s v="NULL"/>
    <n v="53"/>
    <x v="3"/>
    <n v="0"/>
  </r>
  <r>
    <n v="1141"/>
    <x v="3"/>
    <d v="2023-07-18T00:00:00"/>
    <s v="No"/>
    <s v="NULL"/>
    <n v="36"/>
    <x v="3"/>
    <n v="0"/>
  </r>
  <r>
    <n v="1148"/>
    <x v="3"/>
    <d v="2024-05-11T00:00:00"/>
    <s v="Yes"/>
    <d v="2025-08-22T00:00:00"/>
    <n v="15"/>
    <x v="2"/>
    <n v="1"/>
  </r>
  <r>
    <n v="1153"/>
    <x v="3"/>
    <d v="2022-08-15T00:00:00"/>
    <s v="Yes"/>
    <d v="2024-03-26T00:00:00"/>
    <n v="19"/>
    <x v="2"/>
    <n v="1"/>
  </r>
  <r>
    <n v="1159"/>
    <x v="3"/>
    <d v="2021-07-23T00:00:00"/>
    <s v="No"/>
    <s v="NULL"/>
    <n v="60"/>
    <x v="1"/>
    <n v="0"/>
  </r>
  <r>
    <n v="1163"/>
    <x v="3"/>
    <d v="2024-01-25T00:00:00"/>
    <s v="No"/>
    <s v="NULL"/>
    <n v="30"/>
    <x v="2"/>
    <n v="0"/>
  </r>
  <r>
    <n v="1166"/>
    <x v="3"/>
    <d v="2026-03-29T00:00:00"/>
    <s v="No"/>
    <s v="NULL"/>
    <n v="4"/>
    <x v="0"/>
    <n v="0"/>
  </r>
  <r>
    <n v="1169"/>
    <x v="3"/>
    <d v="2026-05-07T00:00:00"/>
    <s v="No"/>
    <s v="NULL"/>
    <n v="3"/>
    <x v="0"/>
    <n v="0"/>
  </r>
  <r>
    <n v="1177"/>
    <x v="3"/>
    <d v="2023-07-20T00:00:00"/>
    <s v="No"/>
    <s v="NULL"/>
    <n v="36"/>
    <x v="3"/>
    <n v="0"/>
  </r>
  <r>
    <n v="1178"/>
    <x v="3"/>
    <d v="2023-09-17T00:00:00"/>
    <s v="No"/>
    <s v="NULL"/>
    <n v="34"/>
    <x v="2"/>
    <n v="0"/>
  </r>
  <r>
    <n v="1183"/>
    <x v="3"/>
    <d v="2023-11-14T00:00:00"/>
    <s v="No"/>
    <s v="NULL"/>
    <n v="32"/>
    <x v="2"/>
    <n v="0"/>
  </r>
  <r>
    <n v="1187"/>
    <x v="3"/>
    <d v="2020-08-19T00:00:00"/>
    <s v="No"/>
    <s v="NULL"/>
    <n v="71"/>
    <x v="1"/>
    <n v="0"/>
  </r>
  <r>
    <n v="1191"/>
    <x v="3"/>
    <d v="2026-06-26T00:00:00"/>
    <s v="No"/>
    <s v="NULL"/>
    <n v="1"/>
    <x v="0"/>
    <n v="0"/>
  </r>
  <r>
    <n v="1193"/>
    <x v="3"/>
    <d v="2025-06-08T00:00:00"/>
    <s v="No"/>
    <s v="NULL"/>
    <n v="14"/>
    <x v="2"/>
    <n v="0"/>
  </r>
  <r>
    <n v="1198"/>
    <x v="3"/>
    <d v="2024-06-21T00:00:00"/>
    <s v="No"/>
    <s v="NULL"/>
    <n v="25"/>
    <x v="2"/>
    <n v="0"/>
  </r>
  <r>
    <n v="1201"/>
    <x v="3"/>
    <d v="2024-10-06T00:00:00"/>
    <s v="Yes"/>
    <d v="2025-02-25T00:00:00"/>
    <n v="4"/>
    <x v="0"/>
    <n v="1"/>
  </r>
  <r>
    <n v="1209"/>
    <x v="3"/>
    <d v="2025-03-11T00:00:00"/>
    <s v="No"/>
    <s v="NULL"/>
    <n v="17"/>
    <x v="2"/>
    <n v="0"/>
  </r>
  <r>
    <n v="1217"/>
    <x v="3"/>
    <d v="2019-08-29T00:00:00"/>
    <s v="No"/>
    <s v="NULL"/>
    <n v="83"/>
    <x v="1"/>
    <n v="0"/>
  </r>
  <r>
    <n v="1222"/>
    <x v="3"/>
    <d v="2025-07-13T00:00:00"/>
    <s v="No"/>
    <s v="NULL"/>
    <n v="13"/>
    <x v="2"/>
    <n v="0"/>
  </r>
  <r>
    <n v="1227"/>
    <x v="3"/>
    <d v="2023-06-04T00:00:00"/>
    <s v="No"/>
    <s v="NULL"/>
    <n v="38"/>
    <x v="3"/>
    <n v="0"/>
  </r>
  <r>
    <n v="1250"/>
    <x v="3"/>
    <d v="2022-01-17T00:00:00"/>
    <s v="Yes"/>
    <d v="2025-05-31T00:00:00"/>
    <n v="40"/>
    <x v="3"/>
    <n v="1"/>
  </r>
  <r>
    <n v="1266"/>
    <x v="3"/>
    <d v="2024-08-31T00:00:00"/>
    <s v="Yes"/>
    <d v="2025-03-17T00:00:00"/>
    <n v="6"/>
    <x v="0"/>
    <n v="1"/>
  </r>
  <r>
    <n v="1273"/>
    <x v="3"/>
    <d v="2024-10-23T00:00:00"/>
    <s v="No"/>
    <s v="NULL"/>
    <n v="21"/>
    <x v="2"/>
    <n v="0"/>
  </r>
  <r>
    <n v="1281"/>
    <x v="3"/>
    <d v="2024-01-31T00:00:00"/>
    <s v="No"/>
    <s v="NULL"/>
    <n v="30"/>
    <x v="2"/>
    <n v="0"/>
  </r>
  <r>
    <n v="1283"/>
    <x v="3"/>
    <d v="2026-06-04T00:00:00"/>
    <s v="No"/>
    <s v="NULL"/>
    <n v="2"/>
    <x v="0"/>
    <n v="0"/>
  </r>
  <r>
    <n v="1285"/>
    <x v="3"/>
    <d v="2026-06-11T00:00:00"/>
    <s v="No"/>
    <s v="NULL"/>
    <n v="2"/>
    <x v="0"/>
    <n v="0"/>
  </r>
  <r>
    <n v="1293"/>
    <x v="3"/>
    <d v="2023-11-03T00:00:00"/>
    <s v="No"/>
    <s v="NULL"/>
    <n v="33"/>
    <x v="2"/>
    <n v="0"/>
  </r>
  <r>
    <n v="1298"/>
    <x v="3"/>
    <d v="2023-08-09T00:00:00"/>
    <s v="Yes"/>
    <d v="2024-10-26T00:00:00"/>
    <n v="14"/>
    <x v="2"/>
    <n v="1"/>
  </r>
  <r>
    <n v="1300"/>
    <x v="3"/>
    <d v="2026-05-04T00:00:00"/>
    <s v="No"/>
    <s v="NULL"/>
    <n v="3"/>
    <x v="0"/>
    <n v="0"/>
  </r>
  <r>
    <n v="1304"/>
    <x v="3"/>
    <d v="2024-11-13T00:00:00"/>
    <s v="Yes"/>
    <d v="2025-05-19T00:00:00"/>
    <n v="6"/>
    <x v="0"/>
    <n v="1"/>
  </r>
  <r>
    <n v="1309"/>
    <x v="3"/>
    <d v="2024-10-03T00:00:00"/>
    <s v="Yes"/>
    <d v="2025-09-05T00:00:00"/>
    <n v="11"/>
    <x v="0"/>
    <n v="1"/>
  </r>
  <r>
    <n v="1314"/>
    <x v="3"/>
    <d v="2022-06-06T00:00:00"/>
    <s v="Yes"/>
    <d v="2025-02-08T00:00:00"/>
    <n v="32"/>
    <x v="2"/>
    <n v="1"/>
  </r>
  <r>
    <n v="1316"/>
    <x v="3"/>
    <d v="2024-09-04T00:00:00"/>
    <s v="Yes"/>
    <d v="2025-05-14T00:00:00"/>
    <n v="8"/>
    <x v="0"/>
    <n v="1"/>
  </r>
  <r>
    <n v="1318"/>
    <x v="3"/>
    <d v="2021-05-06T00:00:00"/>
    <s v="No"/>
    <s v="NULL"/>
    <n v="63"/>
    <x v="1"/>
    <n v="0"/>
  </r>
  <r>
    <n v="1319"/>
    <x v="3"/>
    <d v="2024-07-03T00:00:00"/>
    <s v="No"/>
    <s v="NULL"/>
    <n v="25"/>
    <x v="2"/>
    <n v="0"/>
  </r>
  <r>
    <n v="1320"/>
    <x v="3"/>
    <d v="2024-04-23T00:00:00"/>
    <s v="No"/>
    <s v="NULL"/>
    <n v="27"/>
    <x v="2"/>
    <n v="0"/>
  </r>
  <r>
    <n v="1321"/>
    <x v="3"/>
    <d v="2025-02-19T00:00:00"/>
    <s v="No"/>
    <s v="NULL"/>
    <n v="17"/>
    <x v="2"/>
    <n v="0"/>
  </r>
  <r>
    <n v="1323"/>
    <x v="3"/>
    <d v="2024-03-04T00:00:00"/>
    <s v="No"/>
    <s v="NULL"/>
    <n v="29"/>
    <x v="2"/>
    <n v="0"/>
  </r>
  <r>
    <n v="1329"/>
    <x v="3"/>
    <d v="2025-10-13T00:00:00"/>
    <s v="No"/>
    <s v="NULL"/>
    <n v="10"/>
    <x v="0"/>
    <n v="0"/>
  </r>
  <r>
    <n v="1330"/>
    <x v="3"/>
    <d v="2022-12-26T00:00:00"/>
    <s v="No"/>
    <s v="NULL"/>
    <n v="43"/>
    <x v="3"/>
    <n v="0"/>
  </r>
  <r>
    <n v="1348"/>
    <x v="3"/>
    <d v="2021-07-22T00:00:00"/>
    <s v="No"/>
    <s v="NULL"/>
    <n v="60"/>
    <x v="1"/>
    <n v="0"/>
  </r>
  <r>
    <n v="1353"/>
    <x v="3"/>
    <d v="2025-06-27T00:00:00"/>
    <s v="No"/>
    <s v="NULL"/>
    <n v="13"/>
    <x v="2"/>
    <n v="0"/>
  </r>
  <r>
    <n v="1356"/>
    <x v="3"/>
    <d v="2020-08-27T00:00:00"/>
    <s v="No"/>
    <s v="NULL"/>
    <n v="71"/>
    <x v="1"/>
    <n v="0"/>
  </r>
  <r>
    <n v="1360"/>
    <x v="3"/>
    <d v="2020-04-26T00:00:00"/>
    <s v="Yes"/>
    <d v="2022-11-18T00:00:00"/>
    <n v="30"/>
    <x v="2"/>
    <n v="1"/>
  </r>
  <r>
    <n v="1367"/>
    <x v="3"/>
    <d v="2025-06-30T00:00:00"/>
    <s v="No"/>
    <s v="NULL"/>
    <n v="13"/>
    <x v="2"/>
    <n v="0"/>
  </r>
  <r>
    <n v="1375"/>
    <x v="3"/>
    <d v="2024-09-28T00:00:00"/>
    <s v="No"/>
    <s v="NULL"/>
    <n v="22"/>
    <x v="2"/>
    <n v="0"/>
  </r>
  <r>
    <n v="1377"/>
    <x v="3"/>
    <d v="2022-06-14T00:00:00"/>
    <s v="No"/>
    <s v="NULL"/>
    <n v="49"/>
    <x v="3"/>
    <n v="0"/>
  </r>
  <r>
    <n v="1380"/>
    <x v="3"/>
    <d v="2026-06-11T00:00:00"/>
    <s v="Yes"/>
    <d v="2026-07-11T00:00:00"/>
    <n v="1"/>
    <x v="0"/>
    <n v="1"/>
  </r>
  <r>
    <n v="1384"/>
    <x v="3"/>
    <d v="2024-12-10T00:00:00"/>
    <s v="No"/>
    <s v="NULL"/>
    <n v="20"/>
    <x v="2"/>
    <n v="0"/>
  </r>
  <r>
    <n v="1387"/>
    <x v="3"/>
    <d v="2024-08-04T00:00:00"/>
    <s v="No"/>
    <s v="NULL"/>
    <n v="24"/>
    <x v="2"/>
    <n v="0"/>
  </r>
  <r>
    <n v="1397"/>
    <x v="3"/>
    <d v="2023-04-13T00:00:00"/>
    <s v="No"/>
    <s v="NULL"/>
    <n v="40"/>
    <x v="3"/>
    <n v="0"/>
  </r>
  <r>
    <n v="1419"/>
    <x v="3"/>
    <d v="2026-05-19T00:00:00"/>
    <s v="No"/>
    <s v="NULL"/>
    <n v="2"/>
    <x v="0"/>
    <n v="0"/>
  </r>
  <r>
    <n v="1436"/>
    <x v="3"/>
    <d v="2024-07-30T00:00:00"/>
    <s v="No"/>
    <s v="NULL"/>
    <n v="24"/>
    <x v="2"/>
    <n v="0"/>
  </r>
  <r>
    <n v="1438"/>
    <x v="3"/>
    <d v="2024-08-06T00:00:00"/>
    <s v="No"/>
    <s v="NULL"/>
    <n v="24"/>
    <x v="2"/>
    <n v="0"/>
  </r>
  <r>
    <n v="1439"/>
    <x v="3"/>
    <d v="2025-08-14T00:00:00"/>
    <s v="Yes"/>
    <d v="2025-09-13T00:00:00"/>
    <n v="0"/>
    <x v="0"/>
    <n v="1"/>
  </r>
  <r>
    <n v="1446"/>
    <x v="3"/>
    <d v="2024-11-13T00:00:00"/>
    <s v="No"/>
    <s v="NULL"/>
    <n v="21"/>
    <x v="2"/>
    <n v="0"/>
  </r>
  <r>
    <n v="1449"/>
    <x v="3"/>
    <d v="2021-12-28T00:00:00"/>
    <s v="No"/>
    <s v="NULL"/>
    <n v="55"/>
    <x v="3"/>
    <n v="0"/>
  </r>
  <r>
    <n v="1460"/>
    <x v="3"/>
    <d v="2025-09-12T00:00:00"/>
    <s v="No"/>
    <s v="NULL"/>
    <n v="11"/>
    <x v="0"/>
    <n v="0"/>
  </r>
  <r>
    <n v="1466"/>
    <x v="3"/>
    <d v="2025-12-13T00:00:00"/>
    <s v="No"/>
    <s v="NULL"/>
    <n v="8"/>
    <x v="0"/>
    <n v="0"/>
  </r>
  <r>
    <n v="1479"/>
    <x v="3"/>
    <d v="2023-10-23T00:00:00"/>
    <s v="No"/>
    <s v="NULL"/>
    <n v="33"/>
    <x v="2"/>
    <n v="0"/>
  </r>
  <r>
    <n v="1486"/>
    <x v="3"/>
    <d v="2024-05-23T00:00:00"/>
    <s v="No"/>
    <s v="NULL"/>
    <n v="26"/>
    <x v="2"/>
    <n v="0"/>
  </r>
  <r>
    <n v="1490"/>
    <x v="3"/>
    <d v="2024-10-18T00:00:00"/>
    <s v="No"/>
    <s v="NULL"/>
    <n v="21"/>
    <x v="2"/>
    <n v="0"/>
  </r>
  <r>
    <n v="1494"/>
    <x v="3"/>
    <d v="2022-01-31T00:00:00"/>
    <s v="No"/>
    <s v="NULL"/>
    <n v="54"/>
    <x v="3"/>
    <n v="0"/>
  </r>
  <r>
    <n v="1502"/>
    <x v="3"/>
    <d v="2023-12-14T00:00:00"/>
    <s v="Yes"/>
    <d v="2025-07-14T00:00:00"/>
    <n v="19"/>
    <x v="2"/>
    <n v="1"/>
  </r>
  <r>
    <n v="1507"/>
    <x v="3"/>
    <d v="2026-06-07T00:00:00"/>
    <s v="No"/>
    <s v="NULL"/>
    <n v="2"/>
    <x v="0"/>
    <n v="0"/>
  </r>
  <r>
    <n v="1512"/>
    <x v="3"/>
    <d v="2023-02-22T00:00:00"/>
    <s v="No"/>
    <s v="NULL"/>
    <n v="41"/>
    <x v="3"/>
    <n v="0"/>
  </r>
  <r>
    <n v="1537"/>
    <x v="3"/>
    <d v="2022-05-04T00:00:00"/>
    <s v="No"/>
    <s v="NULL"/>
    <n v="51"/>
    <x v="3"/>
    <n v="0"/>
  </r>
  <r>
    <n v="1540"/>
    <x v="3"/>
    <d v="2023-07-03T00:00:00"/>
    <s v="Yes"/>
    <d v="2026-07-26T00:00:00"/>
    <n v="36"/>
    <x v="3"/>
    <n v="1"/>
  </r>
  <r>
    <n v="1547"/>
    <x v="3"/>
    <d v="2022-06-24T00:00:00"/>
    <s v="No"/>
    <s v="NULL"/>
    <n v="49"/>
    <x v="3"/>
    <n v="0"/>
  </r>
  <r>
    <n v="1549"/>
    <x v="3"/>
    <d v="2025-07-26T00:00:00"/>
    <s v="Yes"/>
    <d v="2025-08-25T00:00:00"/>
    <n v="0"/>
    <x v="0"/>
    <n v="1"/>
  </r>
  <r>
    <n v="1551"/>
    <x v="3"/>
    <d v="2026-02-05T00:00:00"/>
    <s v="Yes"/>
    <d v="2026-03-07T00:00:00"/>
    <n v="1"/>
    <x v="0"/>
    <n v="1"/>
  </r>
  <r>
    <n v="1554"/>
    <x v="3"/>
    <d v="2024-04-17T00:00:00"/>
    <s v="No"/>
    <s v="NULL"/>
    <n v="27"/>
    <x v="2"/>
    <n v="0"/>
  </r>
  <r>
    <n v="1557"/>
    <x v="3"/>
    <d v="2025-04-25T00:00:00"/>
    <s v="No"/>
    <s v="NULL"/>
    <n v="15"/>
    <x v="2"/>
    <n v="0"/>
  </r>
  <r>
    <n v="1559"/>
    <x v="3"/>
    <d v="2021-07-01T00:00:00"/>
    <s v="No"/>
    <s v="NULL"/>
    <n v="61"/>
    <x v="1"/>
    <n v="0"/>
  </r>
  <r>
    <n v="1562"/>
    <x v="3"/>
    <d v="2026-04-01T00:00:00"/>
    <s v="No"/>
    <s v="NULL"/>
    <n v="4"/>
    <x v="0"/>
    <n v="0"/>
  </r>
  <r>
    <n v="1569"/>
    <x v="3"/>
    <d v="2021-10-12T00:00:00"/>
    <s v="No"/>
    <s v="NULL"/>
    <n v="58"/>
    <x v="3"/>
    <n v="0"/>
  </r>
  <r>
    <n v="1577"/>
    <x v="3"/>
    <d v="2023-03-03T00:00:00"/>
    <s v="No"/>
    <s v="NULL"/>
    <n v="41"/>
    <x v="3"/>
    <n v="0"/>
  </r>
  <r>
    <n v="1578"/>
    <x v="3"/>
    <d v="2026-03-08T00:00:00"/>
    <s v="Yes"/>
    <d v="2026-04-07T00:00:00"/>
    <n v="0"/>
    <x v="0"/>
    <n v="1"/>
  </r>
  <r>
    <n v="1579"/>
    <x v="3"/>
    <d v="2024-10-19T00:00:00"/>
    <s v="Yes"/>
    <d v="2025-09-11T00:00:00"/>
    <n v="10"/>
    <x v="0"/>
    <n v="1"/>
  </r>
  <r>
    <n v="1588"/>
    <x v="3"/>
    <d v="2026-06-16T00:00:00"/>
    <s v="No"/>
    <s v="NULL"/>
    <n v="1"/>
    <x v="0"/>
    <n v="0"/>
  </r>
  <r>
    <n v="1590"/>
    <x v="3"/>
    <d v="2024-10-30T00:00:00"/>
    <s v="Yes"/>
    <d v="2025-04-20T00:00:00"/>
    <n v="5"/>
    <x v="0"/>
    <n v="1"/>
  </r>
  <r>
    <n v="1605"/>
    <x v="3"/>
    <d v="2024-12-01T00:00:00"/>
    <s v="No"/>
    <s v="NULL"/>
    <n v="20"/>
    <x v="2"/>
    <n v="0"/>
  </r>
  <r>
    <n v="1613"/>
    <x v="3"/>
    <d v="2024-09-08T00:00:00"/>
    <s v="No"/>
    <s v="NULL"/>
    <n v="23"/>
    <x v="2"/>
    <n v="0"/>
  </r>
  <r>
    <n v="1617"/>
    <x v="3"/>
    <d v="2022-03-10T00:00:00"/>
    <s v="No"/>
    <s v="NULL"/>
    <n v="53"/>
    <x v="3"/>
    <n v="0"/>
  </r>
  <r>
    <n v="1620"/>
    <x v="3"/>
    <d v="2025-08-20T00:00:00"/>
    <s v="No"/>
    <s v="NULL"/>
    <n v="11"/>
    <x v="0"/>
    <n v="0"/>
  </r>
  <r>
    <n v="1621"/>
    <x v="3"/>
    <d v="2025-05-11T00:00:00"/>
    <s v="Yes"/>
    <d v="2025-11-30T00:00:00"/>
    <n v="6"/>
    <x v="0"/>
    <n v="1"/>
  </r>
  <r>
    <n v="1626"/>
    <x v="3"/>
    <d v="2025-09-24T00:00:00"/>
    <s v="No"/>
    <s v="NULL"/>
    <n v="10"/>
    <x v="0"/>
    <n v="0"/>
  </r>
  <r>
    <n v="1628"/>
    <x v="3"/>
    <d v="2025-01-01T00:00:00"/>
    <s v="Yes"/>
    <d v="2025-08-11T00:00:00"/>
    <n v="7"/>
    <x v="0"/>
    <n v="1"/>
  </r>
  <r>
    <n v="1642"/>
    <x v="3"/>
    <d v="2024-02-06T00:00:00"/>
    <s v="No"/>
    <s v="NULL"/>
    <n v="30"/>
    <x v="2"/>
    <n v="0"/>
  </r>
  <r>
    <n v="1644"/>
    <x v="3"/>
    <d v="2020-12-11T00:00:00"/>
    <s v="No"/>
    <s v="NULL"/>
    <n v="68"/>
    <x v="1"/>
    <n v="0"/>
  </r>
  <r>
    <n v="1647"/>
    <x v="3"/>
    <d v="2025-07-11T00:00:00"/>
    <s v="No"/>
    <s v="NULL"/>
    <n v="13"/>
    <x v="2"/>
    <n v="0"/>
  </r>
  <r>
    <n v="1649"/>
    <x v="3"/>
    <d v="2023-01-31T00:00:00"/>
    <s v="No"/>
    <s v="NULL"/>
    <n v="42"/>
    <x v="3"/>
    <n v="0"/>
  </r>
  <r>
    <n v="1659"/>
    <x v="3"/>
    <d v="2024-12-04T00:00:00"/>
    <s v="No"/>
    <s v="NULL"/>
    <n v="20"/>
    <x v="2"/>
    <n v="0"/>
  </r>
  <r>
    <n v="1676"/>
    <x v="3"/>
    <d v="2025-10-21T00:00:00"/>
    <s v="Yes"/>
    <d v="2025-11-20T00:00:00"/>
    <n v="0"/>
    <x v="0"/>
    <n v="1"/>
  </r>
  <r>
    <n v="1677"/>
    <x v="3"/>
    <d v="2022-05-18T00:00:00"/>
    <s v="No"/>
    <s v="NULL"/>
    <n v="50"/>
    <x v="3"/>
    <n v="0"/>
  </r>
  <r>
    <n v="1680"/>
    <x v="3"/>
    <d v="2025-12-17T00:00:00"/>
    <s v="No"/>
    <s v="NULL"/>
    <n v="7"/>
    <x v="0"/>
    <n v="0"/>
  </r>
  <r>
    <n v="1695"/>
    <x v="3"/>
    <d v="2026-06-10T00:00:00"/>
    <s v="No"/>
    <s v="NULL"/>
    <n v="2"/>
    <x v="0"/>
    <n v="0"/>
  </r>
  <r>
    <n v="1699"/>
    <x v="3"/>
    <d v="2025-02-11T00:00:00"/>
    <s v="Yes"/>
    <d v="2025-12-16T00:00:00"/>
    <n v="10"/>
    <x v="0"/>
    <n v="1"/>
  </r>
  <r>
    <n v="1708"/>
    <x v="3"/>
    <d v="2026-04-01T00:00:00"/>
    <s v="No"/>
    <s v="NULL"/>
    <n v="4"/>
    <x v="0"/>
    <n v="0"/>
  </r>
  <r>
    <n v="1710"/>
    <x v="3"/>
    <d v="2025-02-13T00:00:00"/>
    <s v="No"/>
    <s v="NULL"/>
    <n v="18"/>
    <x v="2"/>
    <n v="0"/>
  </r>
  <r>
    <n v="1713"/>
    <x v="3"/>
    <d v="2025-08-19T00:00:00"/>
    <s v="No"/>
    <s v="NULL"/>
    <n v="11"/>
    <x v="0"/>
    <n v="0"/>
  </r>
  <r>
    <n v="1719"/>
    <x v="3"/>
    <d v="2024-06-30T00:00:00"/>
    <s v="No"/>
    <s v="NULL"/>
    <n v="25"/>
    <x v="2"/>
    <n v="0"/>
  </r>
  <r>
    <n v="1725"/>
    <x v="3"/>
    <d v="2023-04-16T00:00:00"/>
    <s v="No"/>
    <s v="NULL"/>
    <n v="39"/>
    <x v="3"/>
    <n v="0"/>
  </r>
  <r>
    <n v="1727"/>
    <x v="3"/>
    <d v="2024-04-27T00:00:00"/>
    <s v="No"/>
    <s v="NULL"/>
    <n v="27"/>
    <x v="2"/>
    <n v="0"/>
  </r>
  <r>
    <n v="1728"/>
    <x v="3"/>
    <d v="2025-12-15T00:00:00"/>
    <s v="No"/>
    <s v="NULL"/>
    <n v="7"/>
    <x v="0"/>
    <n v="0"/>
  </r>
  <r>
    <n v="1731"/>
    <x v="3"/>
    <d v="2022-04-10T00:00:00"/>
    <s v="No"/>
    <s v="NULL"/>
    <n v="52"/>
    <x v="3"/>
    <n v="0"/>
  </r>
  <r>
    <n v="1742"/>
    <x v="3"/>
    <d v="2024-02-29T00:00:00"/>
    <s v="No"/>
    <s v="NULL"/>
    <n v="29"/>
    <x v="2"/>
    <n v="0"/>
  </r>
  <r>
    <n v="1747"/>
    <x v="3"/>
    <d v="2023-11-09T00:00:00"/>
    <s v="No"/>
    <s v="NULL"/>
    <n v="33"/>
    <x v="2"/>
    <n v="0"/>
  </r>
  <r>
    <n v="1749"/>
    <x v="3"/>
    <d v="2025-09-01T00:00:00"/>
    <s v="No"/>
    <s v="NULL"/>
    <n v="11"/>
    <x v="0"/>
    <n v="0"/>
  </r>
  <r>
    <n v="1767"/>
    <x v="3"/>
    <d v="2025-03-16T00:00:00"/>
    <s v="No"/>
    <s v="NULL"/>
    <n v="16"/>
    <x v="2"/>
    <n v="0"/>
  </r>
  <r>
    <n v="1778"/>
    <x v="3"/>
    <d v="2022-12-05T00:00:00"/>
    <s v="Yes"/>
    <d v="2024-08-11T00:00:00"/>
    <n v="20"/>
    <x v="2"/>
    <n v="1"/>
  </r>
  <r>
    <n v="1786"/>
    <x v="3"/>
    <d v="2025-05-09T00:00:00"/>
    <s v="No"/>
    <s v="NULL"/>
    <n v="15"/>
    <x v="2"/>
    <n v="0"/>
  </r>
  <r>
    <n v="1790"/>
    <x v="3"/>
    <d v="2026-05-31T00:00:00"/>
    <s v="Yes"/>
    <d v="2026-06-30T00:00:00"/>
    <n v="0"/>
    <x v="0"/>
    <n v="1"/>
  </r>
  <r>
    <n v="1810"/>
    <x v="3"/>
    <d v="2025-01-17T00:00:00"/>
    <s v="No"/>
    <s v="NULL"/>
    <n v="18"/>
    <x v="2"/>
    <n v="0"/>
  </r>
  <r>
    <n v="1816"/>
    <x v="3"/>
    <d v="2023-06-18T00:00:00"/>
    <s v="No"/>
    <s v="NULL"/>
    <n v="37"/>
    <x v="3"/>
    <n v="0"/>
  </r>
  <r>
    <n v="1818"/>
    <x v="3"/>
    <d v="2023-09-20T00:00:00"/>
    <s v="No"/>
    <s v="NULL"/>
    <n v="34"/>
    <x v="2"/>
    <n v="0"/>
  </r>
  <r>
    <n v="1821"/>
    <x v="3"/>
    <d v="2021-04-10T00:00:00"/>
    <s v="No"/>
    <s v="NULL"/>
    <n v="64"/>
    <x v="1"/>
    <n v="0"/>
  </r>
  <r>
    <n v="1822"/>
    <x v="3"/>
    <d v="2022-01-03T00:00:00"/>
    <s v="No"/>
    <s v="NULL"/>
    <n v="55"/>
    <x v="3"/>
    <n v="0"/>
  </r>
  <r>
    <n v="1830"/>
    <x v="3"/>
    <d v="2023-09-08T00:00:00"/>
    <s v="No"/>
    <s v="NULL"/>
    <n v="35"/>
    <x v="2"/>
    <n v="0"/>
  </r>
  <r>
    <n v="1839"/>
    <x v="3"/>
    <d v="2024-09-29T00:00:00"/>
    <s v="No"/>
    <s v="NULL"/>
    <n v="22"/>
    <x v="2"/>
    <n v="0"/>
  </r>
  <r>
    <n v="1845"/>
    <x v="3"/>
    <d v="2026-04-09T00:00:00"/>
    <s v="Yes"/>
    <d v="2026-05-09T00:00:00"/>
    <n v="1"/>
    <x v="0"/>
    <n v="1"/>
  </r>
  <r>
    <n v="1852"/>
    <x v="3"/>
    <d v="2025-10-24T00:00:00"/>
    <s v="No"/>
    <s v="NULL"/>
    <n v="9"/>
    <x v="0"/>
    <n v="0"/>
  </r>
  <r>
    <n v="1855"/>
    <x v="3"/>
    <d v="2024-03-31T00:00:00"/>
    <s v="No"/>
    <s v="NULL"/>
    <n v="28"/>
    <x v="2"/>
    <n v="0"/>
  </r>
  <r>
    <n v="1857"/>
    <x v="3"/>
    <d v="2025-04-04T00:00:00"/>
    <s v="No"/>
    <s v="NULL"/>
    <n v="16"/>
    <x v="2"/>
    <n v="0"/>
  </r>
  <r>
    <n v="1003"/>
    <x v="4"/>
    <d v="2024-07-26T00:00:00"/>
    <s v="No"/>
    <s v="NULL"/>
    <n v="24"/>
    <x v="2"/>
    <n v="0"/>
  </r>
  <r>
    <n v="1025"/>
    <x v="4"/>
    <d v="2021-11-11T00:00:00"/>
    <s v="No"/>
    <s v="NULL"/>
    <n v="57"/>
    <x v="3"/>
    <n v="0"/>
  </r>
  <r>
    <n v="1026"/>
    <x v="4"/>
    <d v="2026-04-07T00:00:00"/>
    <s v="No"/>
    <s v="NULL"/>
    <n v="4"/>
    <x v="0"/>
    <n v="0"/>
  </r>
  <r>
    <n v="1035"/>
    <x v="4"/>
    <d v="2022-11-28T00:00:00"/>
    <s v="No"/>
    <s v="NULL"/>
    <n v="44"/>
    <x v="3"/>
    <n v="0"/>
  </r>
  <r>
    <n v="1046"/>
    <x v="4"/>
    <d v="2024-07-17T00:00:00"/>
    <s v="No"/>
    <s v="NULL"/>
    <n v="24"/>
    <x v="2"/>
    <n v="0"/>
  </r>
  <r>
    <n v="1048"/>
    <x v="4"/>
    <d v="2021-05-14T00:00:00"/>
    <s v="No"/>
    <s v="NULL"/>
    <n v="62"/>
    <x v="1"/>
    <n v="0"/>
  </r>
  <r>
    <n v="1051"/>
    <x v="4"/>
    <d v="2024-07-05T00:00:00"/>
    <s v="No"/>
    <s v="NULL"/>
    <n v="25"/>
    <x v="2"/>
    <n v="0"/>
  </r>
  <r>
    <n v="1063"/>
    <x v="4"/>
    <d v="2026-04-09T00:00:00"/>
    <s v="No"/>
    <s v="NULL"/>
    <n v="4"/>
    <x v="0"/>
    <n v="0"/>
  </r>
  <r>
    <n v="1067"/>
    <x v="4"/>
    <d v="2025-06-10T00:00:00"/>
    <s v="No"/>
    <s v="NULL"/>
    <n v="14"/>
    <x v="2"/>
    <n v="0"/>
  </r>
  <r>
    <n v="1071"/>
    <x v="4"/>
    <d v="2021-12-02T00:00:00"/>
    <s v="No"/>
    <s v="NULL"/>
    <n v="56"/>
    <x v="3"/>
    <n v="0"/>
  </r>
  <r>
    <n v="1073"/>
    <x v="4"/>
    <d v="2025-07-31T00:00:00"/>
    <s v="No"/>
    <s v="NULL"/>
    <n v="12"/>
    <x v="2"/>
    <n v="0"/>
  </r>
  <r>
    <n v="1077"/>
    <x v="4"/>
    <d v="2025-02-22T00:00:00"/>
    <s v="No"/>
    <s v="NULL"/>
    <n v="17"/>
    <x v="2"/>
    <n v="0"/>
  </r>
  <r>
    <n v="1088"/>
    <x v="4"/>
    <d v="2026-02-19T00:00:00"/>
    <s v="No"/>
    <s v="NULL"/>
    <n v="5"/>
    <x v="0"/>
    <n v="0"/>
  </r>
  <r>
    <n v="1092"/>
    <x v="4"/>
    <d v="2026-06-21T00:00:00"/>
    <s v="Yes"/>
    <d v="2026-07-21T00:00:00"/>
    <n v="1"/>
    <x v="0"/>
    <n v="1"/>
  </r>
  <r>
    <n v="1103"/>
    <x v="4"/>
    <d v="2023-09-09T00:00:00"/>
    <s v="Yes"/>
    <d v="2024-12-26T00:00:00"/>
    <n v="15"/>
    <x v="2"/>
    <n v="1"/>
  </r>
  <r>
    <n v="1115"/>
    <x v="4"/>
    <d v="2024-05-31T00:00:00"/>
    <s v="No"/>
    <s v="NULL"/>
    <n v="26"/>
    <x v="2"/>
    <n v="0"/>
  </r>
  <r>
    <n v="1132"/>
    <x v="4"/>
    <d v="2026-01-21T00:00:00"/>
    <s v="No"/>
    <s v="NULL"/>
    <n v="6"/>
    <x v="0"/>
    <n v="0"/>
  </r>
  <r>
    <n v="1150"/>
    <x v="4"/>
    <d v="2023-09-24T00:00:00"/>
    <s v="No"/>
    <s v="NULL"/>
    <n v="34"/>
    <x v="2"/>
    <n v="0"/>
  </r>
  <r>
    <n v="1151"/>
    <x v="4"/>
    <d v="2025-11-15T00:00:00"/>
    <s v="Yes"/>
    <d v="2025-12-15T00:00:00"/>
    <n v="1"/>
    <x v="0"/>
    <n v="1"/>
  </r>
  <r>
    <n v="1156"/>
    <x v="4"/>
    <d v="2024-03-02T00:00:00"/>
    <s v="No"/>
    <s v="NULL"/>
    <n v="29"/>
    <x v="2"/>
    <n v="0"/>
  </r>
  <r>
    <n v="1182"/>
    <x v="4"/>
    <d v="2023-03-31T00:00:00"/>
    <s v="No"/>
    <s v="NULL"/>
    <n v="40"/>
    <x v="3"/>
    <n v="0"/>
  </r>
  <r>
    <n v="1226"/>
    <x v="4"/>
    <d v="2024-12-19T00:00:00"/>
    <s v="Yes"/>
    <d v="2025-06-26T00:00:00"/>
    <n v="6"/>
    <x v="0"/>
    <n v="1"/>
  </r>
  <r>
    <n v="1234"/>
    <x v="4"/>
    <d v="2022-09-17T00:00:00"/>
    <s v="No"/>
    <s v="NULL"/>
    <n v="46"/>
    <x v="3"/>
    <n v="0"/>
  </r>
  <r>
    <n v="1243"/>
    <x v="4"/>
    <d v="2024-08-16T00:00:00"/>
    <s v="No"/>
    <s v="NULL"/>
    <n v="23"/>
    <x v="2"/>
    <n v="0"/>
  </r>
  <r>
    <n v="1258"/>
    <x v="4"/>
    <d v="2025-05-19T00:00:00"/>
    <s v="No"/>
    <s v="NULL"/>
    <n v="14"/>
    <x v="2"/>
    <n v="0"/>
  </r>
  <r>
    <n v="1276"/>
    <x v="4"/>
    <d v="2024-04-09T00:00:00"/>
    <s v="Yes"/>
    <d v="2026-03-29T00:00:00"/>
    <n v="23"/>
    <x v="2"/>
    <n v="1"/>
  </r>
  <r>
    <n v="1288"/>
    <x v="4"/>
    <d v="2022-06-01T00:00:00"/>
    <s v="No"/>
    <s v="NULL"/>
    <n v="50"/>
    <x v="3"/>
    <n v="0"/>
  </r>
  <r>
    <n v="1289"/>
    <x v="4"/>
    <d v="2025-06-27T00:00:00"/>
    <s v="Yes"/>
    <d v="2026-05-11T00:00:00"/>
    <n v="10"/>
    <x v="0"/>
    <n v="1"/>
  </r>
  <r>
    <n v="1331"/>
    <x v="4"/>
    <d v="2025-08-22T00:00:00"/>
    <s v="Yes"/>
    <d v="2025-09-21T00:00:00"/>
    <n v="0"/>
    <x v="0"/>
    <n v="1"/>
  </r>
  <r>
    <n v="1342"/>
    <x v="4"/>
    <d v="2025-09-04T00:00:00"/>
    <s v="No"/>
    <s v="NULL"/>
    <n v="11"/>
    <x v="0"/>
    <n v="0"/>
  </r>
  <r>
    <n v="1346"/>
    <x v="4"/>
    <d v="2024-12-23T00:00:00"/>
    <s v="No"/>
    <s v="NULL"/>
    <n v="19"/>
    <x v="2"/>
    <n v="0"/>
  </r>
  <r>
    <n v="1359"/>
    <x v="4"/>
    <d v="2026-02-03T00:00:00"/>
    <s v="No"/>
    <s v="NULL"/>
    <n v="6"/>
    <x v="0"/>
    <n v="0"/>
  </r>
  <r>
    <n v="1361"/>
    <x v="4"/>
    <d v="2025-05-23T00:00:00"/>
    <s v="Yes"/>
    <d v="2025-11-08T00:00:00"/>
    <n v="5"/>
    <x v="0"/>
    <n v="1"/>
  </r>
  <r>
    <n v="1370"/>
    <x v="4"/>
    <d v="2023-05-03T00:00:00"/>
    <s v="No"/>
    <s v="NULL"/>
    <n v="39"/>
    <x v="3"/>
    <n v="0"/>
  </r>
  <r>
    <n v="1371"/>
    <x v="4"/>
    <d v="2022-02-22T00:00:00"/>
    <s v="No"/>
    <s v="NULL"/>
    <n v="53"/>
    <x v="3"/>
    <n v="0"/>
  </r>
  <r>
    <n v="1381"/>
    <x v="4"/>
    <d v="2024-08-30T00:00:00"/>
    <s v="No"/>
    <s v="NULL"/>
    <n v="23"/>
    <x v="2"/>
    <n v="0"/>
  </r>
  <r>
    <n v="1401"/>
    <x v="4"/>
    <d v="2024-07-27T00:00:00"/>
    <s v="No"/>
    <s v="NULL"/>
    <n v="24"/>
    <x v="2"/>
    <n v="0"/>
  </r>
  <r>
    <n v="1412"/>
    <x v="4"/>
    <d v="2024-12-05T00:00:00"/>
    <s v="No"/>
    <s v="NULL"/>
    <n v="20"/>
    <x v="2"/>
    <n v="0"/>
  </r>
  <r>
    <n v="1426"/>
    <x v="4"/>
    <d v="2023-11-20T00:00:00"/>
    <s v="No"/>
    <s v="NULL"/>
    <n v="32"/>
    <x v="2"/>
    <n v="0"/>
  </r>
  <r>
    <n v="1432"/>
    <x v="4"/>
    <d v="2026-06-14T00:00:00"/>
    <s v="No"/>
    <s v="NULL"/>
    <n v="1"/>
    <x v="0"/>
    <n v="0"/>
  </r>
  <r>
    <n v="1453"/>
    <x v="4"/>
    <d v="2025-06-13T00:00:00"/>
    <s v="No"/>
    <s v="NULL"/>
    <n v="14"/>
    <x v="2"/>
    <n v="0"/>
  </r>
  <r>
    <n v="1456"/>
    <x v="4"/>
    <d v="2025-05-26T00:00:00"/>
    <s v="No"/>
    <s v="NULL"/>
    <n v="14"/>
    <x v="2"/>
    <n v="0"/>
  </r>
  <r>
    <n v="1457"/>
    <x v="4"/>
    <d v="2026-06-26T00:00:00"/>
    <s v="Yes"/>
    <d v="2026-07-26T00:00:00"/>
    <n v="1"/>
    <x v="0"/>
    <n v="1"/>
  </r>
  <r>
    <n v="1459"/>
    <x v="4"/>
    <d v="2022-01-12T00:00:00"/>
    <s v="No"/>
    <s v="NULL"/>
    <n v="55"/>
    <x v="3"/>
    <n v="0"/>
  </r>
  <r>
    <n v="1476"/>
    <x v="4"/>
    <d v="2026-07-04T00:00:00"/>
    <s v="No"/>
    <s v="NULL"/>
    <n v="1"/>
    <x v="0"/>
    <n v="0"/>
  </r>
  <r>
    <n v="1480"/>
    <x v="4"/>
    <d v="2025-05-19T00:00:00"/>
    <s v="No"/>
    <s v="NULL"/>
    <n v="14"/>
    <x v="2"/>
    <n v="0"/>
  </r>
  <r>
    <n v="1489"/>
    <x v="4"/>
    <d v="2022-04-04T00:00:00"/>
    <s v="Yes"/>
    <d v="2024-07-25T00:00:00"/>
    <n v="27"/>
    <x v="2"/>
    <n v="1"/>
  </r>
  <r>
    <n v="1491"/>
    <x v="4"/>
    <d v="2023-12-09T00:00:00"/>
    <s v="No"/>
    <s v="NULL"/>
    <n v="32"/>
    <x v="2"/>
    <n v="0"/>
  </r>
  <r>
    <n v="1496"/>
    <x v="4"/>
    <d v="2024-07-22T00:00:00"/>
    <s v="No"/>
    <s v="NULL"/>
    <n v="24"/>
    <x v="2"/>
    <n v="0"/>
  </r>
  <r>
    <n v="1501"/>
    <x v="4"/>
    <d v="2022-11-24T00:00:00"/>
    <s v="No"/>
    <s v="NULL"/>
    <n v="44"/>
    <x v="3"/>
    <n v="0"/>
  </r>
  <r>
    <n v="1518"/>
    <x v="4"/>
    <d v="2023-12-18T00:00:00"/>
    <s v="No"/>
    <s v="NULL"/>
    <n v="31"/>
    <x v="2"/>
    <n v="0"/>
  </r>
  <r>
    <n v="1525"/>
    <x v="4"/>
    <d v="2024-12-09T00:00:00"/>
    <s v="No"/>
    <s v="NULL"/>
    <n v="20"/>
    <x v="2"/>
    <n v="0"/>
  </r>
  <r>
    <n v="1536"/>
    <x v="4"/>
    <d v="2021-08-19T00:00:00"/>
    <s v="No"/>
    <s v="NULL"/>
    <n v="59"/>
    <x v="3"/>
    <n v="0"/>
  </r>
  <r>
    <n v="1558"/>
    <x v="4"/>
    <d v="2025-03-27T00:00:00"/>
    <s v="No"/>
    <s v="NULL"/>
    <n v="16"/>
    <x v="2"/>
    <n v="0"/>
  </r>
  <r>
    <n v="1583"/>
    <x v="4"/>
    <d v="2026-07-15T00:00:00"/>
    <s v="No"/>
    <s v="NULL"/>
    <n v="0"/>
    <x v="0"/>
    <n v="0"/>
  </r>
  <r>
    <n v="1600"/>
    <x v="4"/>
    <d v="2025-08-22T00:00:00"/>
    <s v="No"/>
    <s v="NULL"/>
    <n v="11"/>
    <x v="0"/>
    <n v="0"/>
  </r>
  <r>
    <n v="1603"/>
    <x v="4"/>
    <d v="2024-05-01T00:00:00"/>
    <s v="No"/>
    <s v="NULL"/>
    <n v="27"/>
    <x v="2"/>
    <n v="0"/>
  </r>
  <r>
    <n v="1607"/>
    <x v="4"/>
    <d v="2025-01-10T00:00:00"/>
    <s v="No"/>
    <s v="NULL"/>
    <n v="19"/>
    <x v="2"/>
    <n v="0"/>
  </r>
  <r>
    <n v="1627"/>
    <x v="4"/>
    <d v="2025-03-20T00:00:00"/>
    <s v="No"/>
    <s v="NULL"/>
    <n v="16"/>
    <x v="2"/>
    <n v="0"/>
  </r>
  <r>
    <n v="1638"/>
    <x v="4"/>
    <d v="2023-09-14T00:00:00"/>
    <s v="No"/>
    <s v="NULL"/>
    <n v="34"/>
    <x v="2"/>
    <n v="0"/>
  </r>
  <r>
    <n v="1652"/>
    <x v="4"/>
    <d v="2023-09-04T00:00:00"/>
    <s v="No"/>
    <s v="NULL"/>
    <n v="35"/>
    <x v="2"/>
    <n v="0"/>
  </r>
  <r>
    <n v="1661"/>
    <x v="4"/>
    <d v="2025-09-30T00:00:00"/>
    <s v="Yes"/>
    <d v="2025-10-30T00:00:00"/>
    <n v="1"/>
    <x v="0"/>
    <n v="1"/>
  </r>
  <r>
    <n v="1664"/>
    <x v="4"/>
    <d v="2025-04-16T00:00:00"/>
    <s v="No"/>
    <s v="NULL"/>
    <n v="15"/>
    <x v="2"/>
    <n v="0"/>
  </r>
  <r>
    <n v="1667"/>
    <x v="4"/>
    <d v="2021-04-09T00:00:00"/>
    <s v="No"/>
    <s v="NULL"/>
    <n v="64"/>
    <x v="1"/>
    <n v="0"/>
  </r>
  <r>
    <n v="1682"/>
    <x v="4"/>
    <d v="2024-07-10T00:00:00"/>
    <s v="No"/>
    <s v="NULL"/>
    <n v="25"/>
    <x v="2"/>
    <n v="0"/>
  </r>
  <r>
    <n v="1697"/>
    <x v="4"/>
    <d v="2025-02-19T00:00:00"/>
    <s v="No"/>
    <s v="NULL"/>
    <n v="17"/>
    <x v="2"/>
    <n v="0"/>
  </r>
  <r>
    <n v="1698"/>
    <x v="4"/>
    <d v="2024-09-07T00:00:00"/>
    <s v="No"/>
    <s v="NULL"/>
    <n v="23"/>
    <x v="2"/>
    <n v="0"/>
  </r>
  <r>
    <n v="1704"/>
    <x v="4"/>
    <d v="2024-08-14T00:00:00"/>
    <s v="Yes"/>
    <d v="2025-03-03T00:00:00"/>
    <n v="6"/>
    <x v="0"/>
    <n v="1"/>
  </r>
  <r>
    <n v="1730"/>
    <x v="4"/>
    <d v="2026-03-23T00:00:00"/>
    <s v="No"/>
    <s v="NULL"/>
    <n v="4"/>
    <x v="0"/>
    <n v="0"/>
  </r>
  <r>
    <n v="1739"/>
    <x v="4"/>
    <d v="2023-02-14T00:00:00"/>
    <s v="No"/>
    <s v="NULL"/>
    <n v="41"/>
    <x v="3"/>
    <n v="0"/>
  </r>
  <r>
    <n v="1745"/>
    <x v="4"/>
    <d v="2024-10-02T00:00:00"/>
    <s v="No"/>
    <s v="NULL"/>
    <n v="22"/>
    <x v="2"/>
    <n v="0"/>
  </r>
  <r>
    <n v="1746"/>
    <x v="4"/>
    <d v="2024-10-12T00:00:00"/>
    <s v="Yes"/>
    <d v="2025-08-18T00:00:00"/>
    <n v="10"/>
    <x v="0"/>
    <n v="1"/>
  </r>
  <r>
    <n v="1758"/>
    <x v="4"/>
    <d v="2023-09-15T00:00:00"/>
    <s v="No"/>
    <s v="NULL"/>
    <n v="34"/>
    <x v="2"/>
    <n v="0"/>
  </r>
  <r>
    <n v="1763"/>
    <x v="4"/>
    <d v="2024-05-12T00:00:00"/>
    <s v="No"/>
    <s v="NULL"/>
    <n v="27"/>
    <x v="2"/>
    <n v="0"/>
  </r>
  <r>
    <n v="1769"/>
    <x v="4"/>
    <d v="2025-05-02T00:00:00"/>
    <s v="No"/>
    <s v="NULL"/>
    <n v="15"/>
    <x v="2"/>
    <n v="0"/>
  </r>
  <r>
    <n v="1776"/>
    <x v="4"/>
    <d v="2025-03-22T00:00:00"/>
    <s v="No"/>
    <s v="NULL"/>
    <n v="16"/>
    <x v="2"/>
    <n v="0"/>
  </r>
  <r>
    <n v="1777"/>
    <x v="4"/>
    <d v="2023-07-16T00:00:00"/>
    <s v="No"/>
    <s v="NULL"/>
    <n v="36"/>
    <x v="3"/>
    <n v="0"/>
  </r>
  <r>
    <n v="1780"/>
    <x v="4"/>
    <d v="2023-12-14T00:00:00"/>
    <s v="No"/>
    <s v="NULL"/>
    <n v="31"/>
    <x v="2"/>
    <n v="0"/>
  </r>
  <r>
    <n v="1781"/>
    <x v="4"/>
    <d v="2025-11-22T00:00:00"/>
    <s v="No"/>
    <s v="NULL"/>
    <n v="8"/>
    <x v="0"/>
    <n v="0"/>
  </r>
  <r>
    <n v="1795"/>
    <x v="4"/>
    <d v="2026-03-13T00:00:00"/>
    <s v="Yes"/>
    <d v="2026-04-12T00:00:00"/>
    <n v="0"/>
    <x v="0"/>
    <n v="1"/>
  </r>
  <r>
    <n v="1796"/>
    <x v="4"/>
    <d v="2025-06-16T00:00:00"/>
    <s v="No"/>
    <s v="NULL"/>
    <n v="13"/>
    <x v="2"/>
    <n v="0"/>
  </r>
  <r>
    <n v="1798"/>
    <x v="4"/>
    <d v="2021-12-02T00:00:00"/>
    <s v="No"/>
    <s v="NULL"/>
    <n v="56"/>
    <x v="3"/>
    <n v="0"/>
  </r>
  <r>
    <n v="1800"/>
    <x v="4"/>
    <d v="2022-03-04T00:00:00"/>
    <s v="No"/>
    <s v="NULL"/>
    <n v="53"/>
    <x v="3"/>
    <n v="0"/>
  </r>
  <r>
    <n v="1807"/>
    <x v="4"/>
    <d v="2026-01-19T00:00:00"/>
    <s v="No"/>
    <s v="NULL"/>
    <n v="6"/>
    <x v="0"/>
    <n v="0"/>
  </r>
  <r>
    <n v="1809"/>
    <x v="4"/>
    <d v="2025-01-20T00:00:00"/>
    <s v="Yes"/>
    <d v="2025-09-05T00:00:00"/>
    <n v="7"/>
    <x v="0"/>
    <n v="1"/>
  </r>
  <r>
    <n v="1820"/>
    <x v="4"/>
    <d v="2022-08-30T00:00:00"/>
    <s v="No"/>
    <s v="NULL"/>
    <n v="47"/>
    <x v="3"/>
    <n v="0"/>
  </r>
  <r>
    <n v="1833"/>
    <x v="4"/>
    <d v="2026-05-19T00:00:00"/>
    <s v="No"/>
    <s v="NULL"/>
    <n v="2"/>
    <x v="0"/>
    <n v="0"/>
  </r>
  <r>
    <n v="1836"/>
    <x v="4"/>
    <d v="2022-11-06T00:00:00"/>
    <s v="No"/>
    <s v="NULL"/>
    <n v="45"/>
    <x v="3"/>
    <n v="0"/>
  </r>
  <r>
    <n v="1850"/>
    <x v="4"/>
    <d v="2024-08-27T00:00:00"/>
    <s v="No"/>
    <s v="NULL"/>
    <n v="23"/>
    <x v="2"/>
    <n v="0"/>
  </r>
  <r>
    <n v="1004"/>
    <x v="5"/>
    <d v="2026-07-06T00:00:00"/>
    <s v="No"/>
    <s v="NULL"/>
    <n v="1"/>
    <x v="0"/>
    <n v="0"/>
  </r>
  <r>
    <n v="1055"/>
    <x v="5"/>
    <d v="2024-08-27T00:00:00"/>
    <s v="No"/>
    <s v="NULL"/>
    <n v="23"/>
    <x v="2"/>
    <n v="0"/>
  </r>
  <r>
    <n v="1066"/>
    <x v="5"/>
    <d v="2024-06-01T00:00:00"/>
    <s v="No"/>
    <s v="NULL"/>
    <n v="26"/>
    <x v="2"/>
    <n v="0"/>
  </r>
  <r>
    <n v="1069"/>
    <x v="5"/>
    <d v="2025-08-21T00:00:00"/>
    <s v="No"/>
    <s v="NULL"/>
    <n v="11"/>
    <x v="0"/>
    <n v="0"/>
  </r>
  <r>
    <n v="1072"/>
    <x v="5"/>
    <d v="2022-04-11T00:00:00"/>
    <s v="No"/>
    <s v="NULL"/>
    <n v="52"/>
    <x v="3"/>
    <n v="0"/>
  </r>
  <r>
    <n v="1076"/>
    <x v="5"/>
    <d v="2026-03-25T00:00:00"/>
    <s v="No"/>
    <s v="NULL"/>
    <n v="4"/>
    <x v="0"/>
    <n v="0"/>
  </r>
  <r>
    <n v="1080"/>
    <x v="5"/>
    <d v="2025-06-21T00:00:00"/>
    <s v="No"/>
    <s v="NULL"/>
    <n v="13"/>
    <x v="2"/>
    <n v="0"/>
  </r>
  <r>
    <n v="1093"/>
    <x v="5"/>
    <d v="2025-07-08T00:00:00"/>
    <s v="No"/>
    <s v="NULL"/>
    <n v="13"/>
    <x v="2"/>
    <n v="0"/>
  </r>
  <r>
    <n v="1102"/>
    <x v="5"/>
    <d v="2023-05-17T00:00:00"/>
    <s v="Yes"/>
    <d v="2024-07-20T00:00:00"/>
    <n v="14"/>
    <x v="2"/>
    <n v="1"/>
  </r>
  <r>
    <n v="1130"/>
    <x v="5"/>
    <d v="2025-04-12T00:00:00"/>
    <s v="Yes"/>
    <d v="2025-09-09T00:00:00"/>
    <n v="4"/>
    <x v="0"/>
    <n v="1"/>
  </r>
  <r>
    <n v="1131"/>
    <x v="5"/>
    <d v="2021-11-06T00:00:00"/>
    <s v="No"/>
    <s v="NULL"/>
    <n v="57"/>
    <x v="3"/>
    <n v="0"/>
  </r>
  <r>
    <n v="1134"/>
    <x v="5"/>
    <d v="2025-11-30T00:00:00"/>
    <s v="Yes"/>
    <d v="2025-12-30T00:00:00"/>
    <n v="1"/>
    <x v="0"/>
    <n v="1"/>
  </r>
  <r>
    <n v="1135"/>
    <x v="5"/>
    <d v="2023-10-13T00:00:00"/>
    <s v="No"/>
    <s v="NULL"/>
    <n v="34"/>
    <x v="2"/>
    <n v="0"/>
  </r>
  <r>
    <n v="1158"/>
    <x v="5"/>
    <d v="2023-09-05T00:00:00"/>
    <s v="Yes"/>
    <d v="2025-01-08T00:00:00"/>
    <n v="16"/>
    <x v="2"/>
    <n v="1"/>
  </r>
  <r>
    <n v="1175"/>
    <x v="5"/>
    <d v="2024-01-03T00:00:00"/>
    <s v="Yes"/>
    <d v="2025-08-17T00:00:00"/>
    <n v="19"/>
    <x v="2"/>
    <n v="1"/>
  </r>
  <r>
    <n v="1186"/>
    <x v="5"/>
    <d v="2022-10-12T00:00:00"/>
    <s v="No"/>
    <s v="NULL"/>
    <n v="46"/>
    <x v="3"/>
    <n v="0"/>
  </r>
  <r>
    <n v="1194"/>
    <x v="5"/>
    <d v="2023-10-20T00:00:00"/>
    <s v="Yes"/>
    <d v="2025-01-11T00:00:00"/>
    <n v="14"/>
    <x v="2"/>
    <n v="1"/>
  </r>
  <r>
    <n v="1202"/>
    <x v="5"/>
    <d v="2026-04-17T00:00:00"/>
    <s v="No"/>
    <s v="NULL"/>
    <n v="3"/>
    <x v="0"/>
    <n v="0"/>
  </r>
  <r>
    <n v="1203"/>
    <x v="5"/>
    <d v="2024-08-15T00:00:00"/>
    <s v="No"/>
    <s v="NULL"/>
    <n v="23"/>
    <x v="2"/>
    <n v="0"/>
  </r>
  <r>
    <n v="1214"/>
    <x v="5"/>
    <d v="2026-03-09T00:00:00"/>
    <s v="No"/>
    <s v="NULL"/>
    <n v="5"/>
    <x v="0"/>
    <n v="0"/>
  </r>
  <r>
    <n v="1216"/>
    <x v="5"/>
    <d v="2024-12-19T00:00:00"/>
    <s v="No"/>
    <s v="NULL"/>
    <n v="19"/>
    <x v="2"/>
    <n v="0"/>
  </r>
  <r>
    <n v="1225"/>
    <x v="5"/>
    <d v="2025-12-18T00:00:00"/>
    <s v="Yes"/>
    <d v="2026-01-17T00:00:00"/>
    <n v="0"/>
    <x v="0"/>
    <n v="1"/>
  </r>
  <r>
    <n v="1247"/>
    <x v="5"/>
    <d v="2023-11-16T00:00:00"/>
    <s v="No"/>
    <s v="NULL"/>
    <n v="32"/>
    <x v="2"/>
    <n v="0"/>
  </r>
  <r>
    <n v="1256"/>
    <x v="5"/>
    <d v="2024-08-04T00:00:00"/>
    <s v="Yes"/>
    <d v="2025-03-07T00:00:00"/>
    <n v="7"/>
    <x v="0"/>
    <n v="1"/>
  </r>
  <r>
    <n v="1262"/>
    <x v="5"/>
    <d v="2025-04-03T00:00:00"/>
    <s v="No"/>
    <s v="NULL"/>
    <n v="16"/>
    <x v="2"/>
    <n v="0"/>
  </r>
  <r>
    <n v="1264"/>
    <x v="5"/>
    <d v="2021-04-05T00:00:00"/>
    <s v="Yes"/>
    <d v="2024-07-24T00:00:00"/>
    <n v="39"/>
    <x v="3"/>
    <n v="1"/>
  </r>
  <r>
    <n v="1272"/>
    <x v="5"/>
    <d v="2023-06-09T00:00:00"/>
    <s v="No"/>
    <s v="NULL"/>
    <n v="38"/>
    <x v="3"/>
    <n v="0"/>
  </r>
  <r>
    <n v="1294"/>
    <x v="5"/>
    <d v="2022-03-07T00:00:00"/>
    <s v="No"/>
    <s v="NULL"/>
    <n v="53"/>
    <x v="3"/>
    <n v="0"/>
  </r>
  <r>
    <n v="1299"/>
    <x v="5"/>
    <d v="2026-06-22T00:00:00"/>
    <s v="Yes"/>
    <d v="2026-07-22T00:00:00"/>
    <n v="1"/>
    <x v="0"/>
    <n v="1"/>
  </r>
  <r>
    <n v="1327"/>
    <x v="5"/>
    <d v="2025-02-25T00:00:00"/>
    <s v="No"/>
    <s v="NULL"/>
    <n v="17"/>
    <x v="2"/>
    <n v="0"/>
  </r>
  <r>
    <n v="1332"/>
    <x v="5"/>
    <d v="2025-01-05T00:00:00"/>
    <s v="No"/>
    <s v="NULL"/>
    <n v="19"/>
    <x v="2"/>
    <n v="0"/>
  </r>
  <r>
    <n v="1333"/>
    <x v="5"/>
    <d v="2026-05-29T00:00:00"/>
    <s v="No"/>
    <s v="NULL"/>
    <n v="2"/>
    <x v="0"/>
    <n v="0"/>
  </r>
  <r>
    <n v="1334"/>
    <x v="5"/>
    <d v="2022-04-02T00:00:00"/>
    <s v="No"/>
    <s v="NULL"/>
    <n v="52"/>
    <x v="3"/>
    <n v="0"/>
  </r>
  <r>
    <n v="1336"/>
    <x v="5"/>
    <d v="2025-07-01T00:00:00"/>
    <s v="No"/>
    <s v="NULL"/>
    <n v="13"/>
    <x v="2"/>
    <n v="0"/>
  </r>
  <r>
    <n v="1339"/>
    <x v="5"/>
    <d v="2025-06-02T00:00:00"/>
    <s v="No"/>
    <s v="NULL"/>
    <n v="14"/>
    <x v="2"/>
    <n v="0"/>
  </r>
  <r>
    <n v="1358"/>
    <x v="5"/>
    <d v="2025-10-02T00:00:00"/>
    <s v="Yes"/>
    <d v="2025-11-01T00:00:00"/>
    <n v="0"/>
    <x v="0"/>
    <n v="1"/>
  </r>
  <r>
    <n v="1366"/>
    <x v="5"/>
    <d v="2020-11-04T00:00:00"/>
    <s v="No"/>
    <s v="NULL"/>
    <n v="69"/>
    <x v="1"/>
    <n v="0"/>
  </r>
  <r>
    <n v="1374"/>
    <x v="5"/>
    <d v="2025-12-20T00:00:00"/>
    <s v="No"/>
    <s v="NULL"/>
    <n v="7"/>
    <x v="0"/>
    <n v="0"/>
  </r>
  <r>
    <n v="1385"/>
    <x v="5"/>
    <d v="2023-07-05T00:00:00"/>
    <s v="No"/>
    <s v="NULL"/>
    <n v="37"/>
    <x v="3"/>
    <n v="0"/>
  </r>
  <r>
    <n v="1386"/>
    <x v="5"/>
    <d v="2022-04-16T00:00:00"/>
    <s v="No"/>
    <s v="NULL"/>
    <n v="51"/>
    <x v="3"/>
    <n v="0"/>
  </r>
  <r>
    <n v="1389"/>
    <x v="5"/>
    <d v="2020-03-16T00:00:00"/>
    <s v="No"/>
    <s v="NULL"/>
    <n v="76"/>
    <x v="1"/>
    <n v="0"/>
  </r>
  <r>
    <n v="1407"/>
    <x v="5"/>
    <d v="2025-01-24T00:00:00"/>
    <s v="No"/>
    <s v="NULL"/>
    <n v="18"/>
    <x v="2"/>
    <n v="0"/>
  </r>
  <r>
    <n v="1411"/>
    <x v="5"/>
    <d v="2023-04-23T00:00:00"/>
    <s v="Yes"/>
    <d v="2026-02-12T00:00:00"/>
    <n v="33"/>
    <x v="2"/>
    <n v="1"/>
  </r>
  <r>
    <n v="1433"/>
    <x v="5"/>
    <d v="2023-08-23T00:00:00"/>
    <s v="No"/>
    <s v="NULL"/>
    <n v="35"/>
    <x v="2"/>
    <n v="0"/>
  </r>
  <r>
    <n v="1435"/>
    <x v="5"/>
    <d v="2025-11-09T00:00:00"/>
    <s v="No"/>
    <s v="NULL"/>
    <n v="9"/>
    <x v="0"/>
    <n v="0"/>
  </r>
  <r>
    <n v="1437"/>
    <x v="5"/>
    <d v="2023-10-02T00:00:00"/>
    <s v="No"/>
    <s v="NULL"/>
    <n v="34"/>
    <x v="2"/>
    <n v="0"/>
  </r>
  <r>
    <n v="1481"/>
    <x v="5"/>
    <d v="2023-11-02T00:00:00"/>
    <s v="No"/>
    <s v="NULL"/>
    <n v="33"/>
    <x v="2"/>
    <n v="0"/>
  </r>
  <r>
    <n v="1485"/>
    <x v="5"/>
    <d v="2023-11-15T00:00:00"/>
    <s v="No"/>
    <s v="NULL"/>
    <n v="32"/>
    <x v="2"/>
    <n v="0"/>
  </r>
  <r>
    <n v="1499"/>
    <x v="5"/>
    <d v="2023-09-25T00:00:00"/>
    <s v="No"/>
    <s v="NULL"/>
    <n v="34"/>
    <x v="2"/>
    <n v="0"/>
  </r>
  <r>
    <n v="1511"/>
    <x v="5"/>
    <d v="2024-11-14T00:00:00"/>
    <s v="Yes"/>
    <d v="2025-04-09T00:00:00"/>
    <n v="4"/>
    <x v="0"/>
    <n v="1"/>
  </r>
  <r>
    <n v="1514"/>
    <x v="5"/>
    <d v="2024-10-09T00:00:00"/>
    <s v="No"/>
    <s v="NULL"/>
    <n v="22"/>
    <x v="2"/>
    <n v="0"/>
  </r>
  <r>
    <n v="1532"/>
    <x v="5"/>
    <d v="2024-07-11T00:00:00"/>
    <s v="No"/>
    <s v="NULL"/>
    <n v="25"/>
    <x v="2"/>
    <n v="0"/>
  </r>
  <r>
    <n v="1543"/>
    <x v="5"/>
    <d v="2022-12-27T00:00:00"/>
    <s v="No"/>
    <s v="NULL"/>
    <n v="43"/>
    <x v="3"/>
    <n v="0"/>
  </r>
  <r>
    <n v="1544"/>
    <x v="5"/>
    <d v="2020-11-20T00:00:00"/>
    <s v="No"/>
    <s v="NULL"/>
    <n v="68"/>
    <x v="1"/>
    <n v="0"/>
  </r>
  <r>
    <n v="1546"/>
    <x v="5"/>
    <d v="2024-12-10T00:00:00"/>
    <s v="Yes"/>
    <d v="2025-10-05T00:00:00"/>
    <n v="9"/>
    <x v="0"/>
    <n v="1"/>
  </r>
  <r>
    <n v="1561"/>
    <x v="5"/>
    <d v="2024-06-27T00:00:00"/>
    <s v="No"/>
    <s v="NULL"/>
    <n v="25"/>
    <x v="2"/>
    <n v="0"/>
  </r>
  <r>
    <n v="1563"/>
    <x v="5"/>
    <d v="2026-05-30T00:00:00"/>
    <s v="No"/>
    <s v="NULL"/>
    <n v="2"/>
    <x v="0"/>
    <n v="0"/>
  </r>
  <r>
    <n v="1576"/>
    <x v="5"/>
    <d v="2022-02-19T00:00:00"/>
    <s v="No"/>
    <s v="NULL"/>
    <n v="53"/>
    <x v="3"/>
    <n v="0"/>
  </r>
  <r>
    <n v="1584"/>
    <x v="5"/>
    <d v="2024-12-26T00:00:00"/>
    <s v="No"/>
    <s v="NULL"/>
    <n v="19"/>
    <x v="2"/>
    <n v="0"/>
  </r>
  <r>
    <n v="1597"/>
    <x v="5"/>
    <d v="2024-02-29T00:00:00"/>
    <s v="No"/>
    <s v="NULL"/>
    <n v="29"/>
    <x v="2"/>
    <n v="0"/>
  </r>
  <r>
    <n v="1599"/>
    <x v="5"/>
    <d v="2022-05-01T00:00:00"/>
    <s v="Yes"/>
    <d v="2023-11-13T00:00:00"/>
    <n v="18"/>
    <x v="2"/>
    <n v="1"/>
  </r>
  <r>
    <n v="1601"/>
    <x v="5"/>
    <d v="2023-04-08T00:00:00"/>
    <s v="No"/>
    <s v="NULL"/>
    <n v="40"/>
    <x v="3"/>
    <n v="0"/>
  </r>
  <r>
    <n v="1606"/>
    <x v="5"/>
    <d v="2025-07-01T00:00:00"/>
    <s v="No"/>
    <s v="NULL"/>
    <n v="13"/>
    <x v="2"/>
    <n v="0"/>
  </r>
  <r>
    <n v="1609"/>
    <x v="5"/>
    <d v="2026-04-01T00:00:00"/>
    <s v="No"/>
    <s v="NULL"/>
    <n v="4"/>
    <x v="0"/>
    <n v="0"/>
  </r>
  <r>
    <n v="1622"/>
    <x v="5"/>
    <d v="2024-11-01T00:00:00"/>
    <s v="Yes"/>
    <d v="2025-10-15T00:00:00"/>
    <n v="11"/>
    <x v="0"/>
    <n v="1"/>
  </r>
  <r>
    <n v="1624"/>
    <x v="5"/>
    <d v="2025-07-21T00:00:00"/>
    <s v="Yes"/>
    <d v="2025-08-20T00:00:00"/>
    <n v="0"/>
    <x v="0"/>
    <n v="1"/>
  </r>
  <r>
    <n v="1631"/>
    <x v="5"/>
    <d v="2026-03-30T00:00:00"/>
    <s v="No"/>
    <s v="NULL"/>
    <n v="4"/>
    <x v="0"/>
    <n v="0"/>
  </r>
  <r>
    <n v="1636"/>
    <x v="5"/>
    <d v="2025-02-24T00:00:00"/>
    <s v="No"/>
    <s v="NULL"/>
    <n v="17"/>
    <x v="2"/>
    <n v="0"/>
  </r>
  <r>
    <n v="1641"/>
    <x v="5"/>
    <d v="2025-09-06T00:00:00"/>
    <s v="No"/>
    <s v="NULL"/>
    <n v="11"/>
    <x v="0"/>
    <n v="0"/>
  </r>
  <r>
    <n v="1658"/>
    <x v="5"/>
    <d v="2026-03-02T00:00:00"/>
    <s v="Yes"/>
    <d v="2026-04-01T00:00:00"/>
    <n v="0"/>
    <x v="0"/>
    <n v="1"/>
  </r>
  <r>
    <n v="1660"/>
    <x v="5"/>
    <d v="2020-11-28T00:00:00"/>
    <s v="No"/>
    <s v="NULL"/>
    <n v="68"/>
    <x v="1"/>
    <n v="0"/>
  </r>
  <r>
    <n v="1663"/>
    <x v="5"/>
    <d v="2022-03-08T00:00:00"/>
    <s v="No"/>
    <s v="NULL"/>
    <n v="53"/>
    <x v="3"/>
    <n v="0"/>
  </r>
  <r>
    <n v="1666"/>
    <x v="5"/>
    <d v="2025-02-17T00:00:00"/>
    <s v="Yes"/>
    <d v="2026-03-05T00:00:00"/>
    <n v="12"/>
    <x v="2"/>
    <n v="1"/>
  </r>
  <r>
    <n v="1696"/>
    <x v="5"/>
    <d v="2026-05-25T00:00:00"/>
    <s v="No"/>
    <s v="NULL"/>
    <n v="2"/>
    <x v="0"/>
    <n v="0"/>
  </r>
  <r>
    <n v="1701"/>
    <x v="5"/>
    <d v="2023-06-23T00:00:00"/>
    <s v="Yes"/>
    <d v="2024-06-22T00:00:00"/>
    <n v="11"/>
    <x v="0"/>
    <n v="1"/>
  </r>
  <r>
    <n v="1707"/>
    <x v="5"/>
    <d v="2024-12-25T00:00:00"/>
    <s v="No"/>
    <s v="NULL"/>
    <n v="19"/>
    <x v="2"/>
    <n v="0"/>
  </r>
  <r>
    <n v="1760"/>
    <x v="5"/>
    <d v="2024-12-30T00:00:00"/>
    <s v="No"/>
    <s v="NULL"/>
    <n v="19"/>
    <x v="2"/>
    <n v="0"/>
  </r>
  <r>
    <n v="1770"/>
    <x v="5"/>
    <d v="2026-03-11T00:00:00"/>
    <s v="No"/>
    <s v="NULL"/>
    <n v="5"/>
    <x v="0"/>
    <n v="0"/>
  </r>
  <r>
    <n v="1791"/>
    <x v="5"/>
    <d v="2024-04-08T00:00:00"/>
    <s v="Yes"/>
    <d v="2026-01-21T00:00:00"/>
    <n v="21"/>
    <x v="2"/>
    <n v="1"/>
  </r>
  <r>
    <n v="1802"/>
    <x v="5"/>
    <d v="2024-07-07T00:00:00"/>
    <s v="No"/>
    <s v="NULL"/>
    <n v="25"/>
    <x v="2"/>
    <n v="0"/>
  </r>
  <r>
    <n v="1804"/>
    <x v="5"/>
    <d v="2025-07-07T00:00:00"/>
    <s v="No"/>
    <s v="NULL"/>
    <n v="13"/>
    <x v="2"/>
    <n v="0"/>
  </r>
  <r>
    <n v="1814"/>
    <x v="5"/>
    <d v="2022-04-04T00:00:00"/>
    <s v="No"/>
    <s v="NULL"/>
    <n v="52"/>
    <x v="3"/>
    <n v="0"/>
  </r>
  <r>
    <n v="1815"/>
    <x v="5"/>
    <d v="2024-10-15T00:00:00"/>
    <s v="No"/>
    <s v="NULL"/>
    <n v="21"/>
    <x v="2"/>
    <n v="0"/>
  </r>
  <r>
    <n v="1817"/>
    <x v="5"/>
    <d v="2025-02-14T00:00:00"/>
    <s v="No"/>
    <s v="NULL"/>
    <n v="17"/>
    <x v="2"/>
    <n v="0"/>
  </r>
  <r>
    <n v="1834"/>
    <x v="5"/>
    <d v="2025-12-04T00:00:00"/>
    <s v="No"/>
    <s v="NULL"/>
    <n v="8"/>
    <x v="0"/>
    <n v="0"/>
  </r>
  <r>
    <n v="1840"/>
    <x v="5"/>
    <d v="2023-07-19T00:00:00"/>
    <s v="No"/>
    <s v="NULL"/>
    <n v="36"/>
    <x v="3"/>
    <n v="0"/>
  </r>
  <r>
    <n v="1844"/>
    <x v="5"/>
    <d v="2024-10-29T00:00:00"/>
    <s v="No"/>
    <s v="NULL"/>
    <n v="21"/>
    <x v="2"/>
    <n v="0"/>
  </r>
  <r>
    <n v="1846"/>
    <x v="5"/>
    <d v="2024-04-27T00:00:00"/>
    <s v="No"/>
    <s v="NULL"/>
    <n v="27"/>
    <x v="2"/>
    <n v="0"/>
  </r>
  <r>
    <n v="1854"/>
    <x v="5"/>
    <d v="2022-07-08T00:00:00"/>
    <s v="Yes"/>
    <d v="2023-12-26T00:00:00"/>
    <n v="17"/>
    <x v="2"/>
    <n v="1"/>
  </r>
  <r>
    <n v="1861"/>
    <x v="5"/>
    <d v="2023-07-21T00:00:00"/>
    <s v="No"/>
    <s v="NULL"/>
    <n v="36"/>
    <x v="3"/>
    <n v="0"/>
  </r>
  <r>
    <n v="1006"/>
    <x v="6"/>
    <d v="2025-12-02T00:00:00"/>
    <s v="No"/>
    <s v="NULL"/>
    <n v="8"/>
    <x v="0"/>
    <n v="0"/>
  </r>
  <r>
    <n v="1007"/>
    <x v="6"/>
    <d v="2022-12-01T00:00:00"/>
    <s v="No"/>
    <s v="NULL"/>
    <n v="44"/>
    <x v="3"/>
    <n v="0"/>
  </r>
  <r>
    <n v="1033"/>
    <x v="6"/>
    <d v="2024-12-13T00:00:00"/>
    <s v="No"/>
    <s v="NULL"/>
    <n v="20"/>
    <x v="2"/>
    <n v="0"/>
  </r>
  <r>
    <n v="1054"/>
    <x v="6"/>
    <d v="2025-01-24T00:00:00"/>
    <s v="No"/>
    <s v="NULL"/>
    <n v="18"/>
    <x v="2"/>
    <n v="0"/>
  </r>
  <r>
    <n v="1113"/>
    <x v="6"/>
    <d v="2024-06-10T00:00:00"/>
    <s v="No"/>
    <s v="NULL"/>
    <n v="26"/>
    <x v="2"/>
    <n v="0"/>
  </r>
  <r>
    <n v="1143"/>
    <x v="6"/>
    <d v="2024-01-01T00:00:00"/>
    <s v="No"/>
    <s v="NULL"/>
    <n v="31"/>
    <x v="2"/>
    <n v="0"/>
  </r>
  <r>
    <n v="1165"/>
    <x v="6"/>
    <d v="2021-08-25T00:00:00"/>
    <s v="Yes"/>
    <d v="2023-12-09T00:00:00"/>
    <n v="27"/>
    <x v="2"/>
    <n v="1"/>
  </r>
  <r>
    <n v="1171"/>
    <x v="6"/>
    <d v="2024-07-28T00:00:00"/>
    <s v="Yes"/>
    <d v="2025-01-16T00:00:00"/>
    <n v="5"/>
    <x v="0"/>
    <n v="1"/>
  </r>
  <r>
    <n v="1213"/>
    <x v="6"/>
    <d v="2024-07-05T00:00:00"/>
    <s v="No"/>
    <s v="NULL"/>
    <n v="25"/>
    <x v="2"/>
    <n v="0"/>
  </r>
  <r>
    <n v="1219"/>
    <x v="6"/>
    <d v="2022-06-14T00:00:00"/>
    <s v="No"/>
    <s v="NULL"/>
    <n v="49"/>
    <x v="3"/>
    <n v="0"/>
  </r>
  <r>
    <n v="1235"/>
    <x v="6"/>
    <d v="2023-08-29T00:00:00"/>
    <s v="No"/>
    <s v="NULL"/>
    <n v="35"/>
    <x v="2"/>
    <n v="0"/>
  </r>
  <r>
    <n v="1237"/>
    <x v="6"/>
    <d v="2025-12-07T00:00:00"/>
    <s v="No"/>
    <s v="NULL"/>
    <n v="8"/>
    <x v="0"/>
    <n v="0"/>
  </r>
  <r>
    <n v="1253"/>
    <x v="6"/>
    <d v="2026-02-28T00:00:00"/>
    <s v="No"/>
    <s v="NULL"/>
    <n v="5"/>
    <x v="0"/>
    <n v="0"/>
  </r>
  <r>
    <n v="1263"/>
    <x v="6"/>
    <d v="2023-01-03T00:00:00"/>
    <s v="No"/>
    <s v="NULL"/>
    <n v="43"/>
    <x v="3"/>
    <n v="0"/>
  </r>
  <r>
    <n v="1269"/>
    <x v="6"/>
    <d v="2023-04-24T00:00:00"/>
    <s v="No"/>
    <s v="NULL"/>
    <n v="39"/>
    <x v="3"/>
    <n v="0"/>
  </r>
  <r>
    <n v="1296"/>
    <x v="6"/>
    <d v="2024-06-17T00:00:00"/>
    <s v="No"/>
    <s v="NULL"/>
    <n v="25"/>
    <x v="2"/>
    <n v="0"/>
  </r>
  <r>
    <n v="1306"/>
    <x v="6"/>
    <d v="2024-12-31T00:00:00"/>
    <s v="Yes"/>
    <d v="2025-10-03T00:00:00"/>
    <n v="9"/>
    <x v="0"/>
    <n v="1"/>
  </r>
  <r>
    <n v="1311"/>
    <x v="6"/>
    <d v="2024-02-16T00:00:00"/>
    <s v="No"/>
    <s v="NULL"/>
    <n v="29"/>
    <x v="2"/>
    <n v="0"/>
  </r>
  <r>
    <n v="1341"/>
    <x v="6"/>
    <d v="2025-10-11T00:00:00"/>
    <s v="Yes"/>
    <d v="2025-11-10T00:00:00"/>
    <n v="0"/>
    <x v="0"/>
    <n v="1"/>
  </r>
  <r>
    <n v="1347"/>
    <x v="6"/>
    <d v="2025-07-24T00:00:00"/>
    <s v="Yes"/>
    <d v="2025-08-23T00:00:00"/>
    <n v="0"/>
    <x v="0"/>
    <n v="1"/>
  </r>
  <r>
    <n v="1350"/>
    <x v="6"/>
    <d v="2025-02-15T00:00:00"/>
    <s v="No"/>
    <s v="NULL"/>
    <n v="17"/>
    <x v="2"/>
    <n v="0"/>
  </r>
  <r>
    <n v="1364"/>
    <x v="6"/>
    <d v="2023-05-28T00:00:00"/>
    <s v="No"/>
    <s v="NULL"/>
    <n v="38"/>
    <x v="3"/>
    <n v="0"/>
  </r>
  <r>
    <n v="1379"/>
    <x v="6"/>
    <d v="2024-07-04T00:00:00"/>
    <s v="No"/>
    <s v="NULL"/>
    <n v="25"/>
    <x v="2"/>
    <n v="0"/>
  </r>
  <r>
    <n v="1383"/>
    <x v="6"/>
    <d v="2026-04-01T00:00:00"/>
    <s v="No"/>
    <s v="NULL"/>
    <n v="4"/>
    <x v="0"/>
    <n v="0"/>
  </r>
  <r>
    <n v="1392"/>
    <x v="6"/>
    <d v="2024-09-16T00:00:00"/>
    <s v="No"/>
    <s v="NULL"/>
    <n v="22"/>
    <x v="2"/>
    <n v="0"/>
  </r>
  <r>
    <n v="1413"/>
    <x v="6"/>
    <d v="2026-04-24T00:00:00"/>
    <s v="Yes"/>
    <d v="2026-05-24T00:00:00"/>
    <n v="1"/>
    <x v="0"/>
    <n v="1"/>
  </r>
  <r>
    <n v="1417"/>
    <x v="6"/>
    <d v="2024-07-14T00:00:00"/>
    <s v="No"/>
    <s v="NULL"/>
    <n v="24"/>
    <x v="2"/>
    <n v="0"/>
  </r>
  <r>
    <n v="1423"/>
    <x v="6"/>
    <d v="2021-11-21T00:00:00"/>
    <s v="No"/>
    <s v="NULL"/>
    <n v="56"/>
    <x v="3"/>
    <n v="0"/>
  </r>
  <r>
    <n v="1425"/>
    <x v="6"/>
    <d v="2024-04-04T00:00:00"/>
    <s v="No"/>
    <s v="NULL"/>
    <n v="28"/>
    <x v="2"/>
    <n v="0"/>
  </r>
  <r>
    <n v="1440"/>
    <x v="6"/>
    <d v="2026-01-15T00:00:00"/>
    <s v="No"/>
    <s v="NULL"/>
    <n v="6"/>
    <x v="0"/>
    <n v="0"/>
  </r>
  <r>
    <n v="1454"/>
    <x v="6"/>
    <d v="2026-06-15T00:00:00"/>
    <s v="No"/>
    <s v="NULL"/>
    <n v="1"/>
    <x v="0"/>
    <n v="0"/>
  </r>
  <r>
    <n v="1455"/>
    <x v="6"/>
    <d v="2025-04-21T00:00:00"/>
    <s v="No"/>
    <s v="NULL"/>
    <n v="15"/>
    <x v="2"/>
    <n v="0"/>
  </r>
  <r>
    <n v="1484"/>
    <x v="6"/>
    <d v="2025-02-11T00:00:00"/>
    <s v="Yes"/>
    <d v="2025-10-29T00:00:00"/>
    <n v="8"/>
    <x v="0"/>
    <n v="1"/>
  </r>
  <r>
    <n v="1497"/>
    <x v="6"/>
    <d v="2026-05-31T00:00:00"/>
    <s v="Yes"/>
    <d v="2026-06-30T00:00:00"/>
    <n v="0"/>
    <x v="0"/>
    <n v="1"/>
  </r>
  <r>
    <n v="1498"/>
    <x v="6"/>
    <d v="2024-03-29T00:00:00"/>
    <s v="No"/>
    <s v="NULL"/>
    <n v="28"/>
    <x v="2"/>
    <n v="0"/>
  </r>
  <r>
    <n v="1516"/>
    <x v="6"/>
    <d v="2025-03-07T00:00:00"/>
    <s v="No"/>
    <s v="NULL"/>
    <n v="17"/>
    <x v="2"/>
    <n v="0"/>
  </r>
  <r>
    <n v="1529"/>
    <x v="6"/>
    <d v="2023-01-11T00:00:00"/>
    <s v="Yes"/>
    <d v="2025-08-04T00:00:00"/>
    <n v="30"/>
    <x v="2"/>
    <n v="1"/>
  </r>
  <r>
    <n v="1587"/>
    <x v="6"/>
    <d v="2025-10-29T00:00:00"/>
    <s v="No"/>
    <s v="NULL"/>
    <n v="9"/>
    <x v="0"/>
    <n v="0"/>
  </r>
  <r>
    <n v="1604"/>
    <x v="6"/>
    <d v="2025-09-25T00:00:00"/>
    <s v="No"/>
    <s v="NULL"/>
    <n v="10"/>
    <x v="0"/>
    <n v="0"/>
  </r>
  <r>
    <n v="1616"/>
    <x v="6"/>
    <d v="2023-02-05T00:00:00"/>
    <s v="No"/>
    <s v="NULL"/>
    <n v="42"/>
    <x v="3"/>
    <n v="0"/>
  </r>
  <r>
    <n v="1629"/>
    <x v="6"/>
    <d v="2023-12-14T00:00:00"/>
    <s v="No"/>
    <s v="NULL"/>
    <n v="31"/>
    <x v="2"/>
    <n v="0"/>
  </r>
  <r>
    <n v="1675"/>
    <x v="6"/>
    <d v="2022-03-16T00:00:00"/>
    <s v="No"/>
    <s v="NULL"/>
    <n v="52"/>
    <x v="3"/>
    <n v="0"/>
  </r>
  <r>
    <n v="1690"/>
    <x v="6"/>
    <d v="2026-01-17T00:00:00"/>
    <s v="No"/>
    <s v="NULL"/>
    <n v="6"/>
    <x v="0"/>
    <n v="0"/>
  </r>
  <r>
    <n v="1692"/>
    <x v="6"/>
    <d v="2024-06-26T00:00:00"/>
    <s v="No"/>
    <s v="NULL"/>
    <n v="25"/>
    <x v="2"/>
    <n v="0"/>
  </r>
  <r>
    <n v="1693"/>
    <x v="6"/>
    <d v="2022-01-27T00:00:00"/>
    <s v="No"/>
    <s v="NULL"/>
    <n v="54"/>
    <x v="3"/>
    <n v="0"/>
  </r>
  <r>
    <n v="1729"/>
    <x v="6"/>
    <d v="2023-11-19T00:00:00"/>
    <s v="No"/>
    <s v="NULL"/>
    <n v="32"/>
    <x v="2"/>
    <n v="0"/>
  </r>
  <r>
    <n v="1744"/>
    <x v="6"/>
    <d v="2019-08-01T00:00:00"/>
    <s v="No"/>
    <s v="NULL"/>
    <n v="84"/>
    <x v="1"/>
    <n v="0"/>
  </r>
  <r>
    <n v="1751"/>
    <x v="6"/>
    <d v="2021-05-03T00:00:00"/>
    <s v="Yes"/>
    <d v="2023-08-15T00:00:00"/>
    <n v="27"/>
    <x v="2"/>
    <n v="1"/>
  </r>
  <r>
    <n v="1757"/>
    <x v="6"/>
    <d v="2025-06-05T00:00:00"/>
    <s v="No"/>
    <s v="NULL"/>
    <n v="14"/>
    <x v="2"/>
    <n v="0"/>
  </r>
  <r>
    <n v="1773"/>
    <x v="6"/>
    <d v="2025-04-17T00:00:00"/>
    <s v="Yes"/>
    <d v="2026-05-06T00:00:00"/>
    <n v="12"/>
    <x v="2"/>
    <n v="1"/>
  </r>
  <r>
    <n v="1812"/>
    <x v="6"/>
    <d v="2024-01-11T00:00:00"/>
    <s v="No"/>
    <s v="NULL"/>
    <n v="31"/>
    <x v="2"/>
    <n v="0"/>
  </r>
  <r>
    <n v="1819"/>
    <x v="6"/>
    <d v="2026-03-06T00:00:00"/>
    <s v="No"/>
    <s v="NULL"/>
    <n v="5"/>
    <x v="0"/>
    <n v="0"/>
  </r>
  <r>
    <n v="1826"/>
    <x v="6"/>
    <d v="2021-09-18T00:00:00"/>
    <s v="No"/>
    <s v="NULL"/>
    <n v="58"/>
    <x v="3"/>
    <n v="0"/>
  </r>
  <r>
    <n v="1851"/>
    <x v="6"/>
    <d v="2021-07-05T00:00:00"/>
    <s v="No"/>
    <s v="NULL"/>
    <n v="61"/>
    <x v="1"/>
    <n v="0"/>
  </r>
  <r>
    <n v="1859"/>
    <x v="6"/>
    <d v="2025-12-21T00:00:00"/>
    <s v="No"/>
    <s v="NULL"/>
    <n v="7"/>
    <x v="0"/>
    <n v="0"/>
  </r>
  <r>
    <n v="1018"/>
    <x v="7"/>
    <d v="2025-01-23T00:00:00"/>
    <s v="No"/>
    <s v="NULL"/>
    <n v="18"/>
    <x v="2"/>
    <n v="0"/>
  </r>
  <r>
    <n v="1039"/>
    <x v="7"/>
    <d v="2021-07-31T00:00:00"/>
    <s v="No"/>
    <s v="NULL"/>
    <n v="60"/>
    <x v="1"/>
    <n v="0"/>
  </r>
  <r>
    <n v="1114"/>
    <x v="7"/>
    <d v="2025-12-18T00:00:00"/>
    <s v="No"/>
    <s v="NULL"/>
    <n v="7"/>
    <x v="0"/>
    <n v="0"/>
  </r>
  <r>
    <n v="1129"/>
    <x v="7"/>
    <d v="2023-03-04T00:00:00"/>
    <s v="No"/>
    <s v="NULL"/>
    <n v="41"/>
    <x v="3"/>
    <n v="0"/>
  </r>
  <r>
    <n v="1192"/>
    <x v="7"/>
    <d v="2025-03-22T00:00:00"/>
    <s v="Yes"/>
    <d v="2025-08-24T00:00:00"/>
    <n v="5"/>
    <x v="0"/>
    <n v="1"/>
  </r>
  <r>
    <n v="1241"/>
    <x v="7"/>
    <d v="2025-10-28T00:00:00"/>
    <s v="Yes"/>
    <d v="2025-11-27T00:00:00"/>
    <n v="0"/>
    <x v="0"/>
    <n v="1"/>
  </r>
  <r>
    <n v="1259"/>
    <x v="7"/>
    <d v="2024-01-05T00:00:00"/>
    <s v="No"/>
    <s v="NULL"/>
    <n v="31"/>
    <x v="2"/>
    <n v="0"/>
  </r>
  <r>
    <n v="1278"/>
    <x v="7"/>
    <d v="2024-03-26T00:00:00"/>
    <s v="Yes"/>
    <d v="2025-10-24T00:00:00"/>
    <n v="18"/>
    <x v="2"/>
    <n v="1"/>
  </r>
  <r>
    <n v="1297"/>
    <x v="7"/>
    <d v="2026-04-20T00:00:00"/>
    <s v="Yes"/>
    <d v="2026-05-20T00:00:00"/>
    <n v="1"/>
    <x v="0"/>
    <n v="1"/>
  </r>
  <r>
    <n v="1355"/>
    <x v="7"/>
    <d v="2025-11-06T00:00:00"/>
    <s v="No"/>
    <s v="NULL"/>
    <n v="9"/>
    <x v="0"/>
    <n v="0"/>
  </r>
  <r>
    <n v="1368"/>
    <x v="7"/>
    <d v="2024-04-25T00:00:00"/>
    <s v="No"/>
    <s v="NULL"/>
    <n v="27"/>
    <x v="2"/>
    <n v="0"/>
  </r>
  <r>
    <n v="1416"/>
    <x v="7"/>
    <d v="2025-05-20T00:00:00"/>
    <s v="No"/>
    <s v="NULL"/>
    <n v="14"/>
    <x v="2"/>
    <n v="0"/>
  </r>
  <r>
    <n v="1422"/>
    <x v="7"/>
    <d v="2024-12-09T00:00:00"/>
    <s v="No"/>
    <s v="NULL"/>
    <n v="20"/>
    <x v="2"/>
    <n v="0"/>
  </r>
  <r>
    <n v="1538"/>
    <x v="7"/>
    <d v="2020-09-30T00:00:00"/>
    <s v="No"/>
    <s v="NULL"/>
    <n v="70"/>
    <x v="1"/>
    <n v="0"/>
  </r>
  <r>
    <n v="1564"/>
    <x v="7"/>
    <d v="2023-05-08T00:00:00"/>
    <s v="No"/>
    <s v="NULL"/>
    <n v="39"/>
    <x v="3"/>
    <n v="0"/>
  </r>
  <r>
    <n v="1646"/>
    <x v="7"/>
    <d v="2020-09-19T00:00:00"/>
    <s v="No"/>
    <s v="NULL"/>
    <n v="70"/>
    <x v="1"/>
    <n v="0"/>
  </r>
  <r>
    <n v="1651"/>
    <x v="7"/>
    <d v="2025-07-04T00:00:00"/>
    <s v="No"/>
    <s v="NULL"/>
    <n v="13"/>
    <x v="2"/>
    <n v="0"/>
  </r>
  <r>
    <n v="1706"/>
    <x v="7"/>
    <d v="2022-01-22T00:00:00"/>
    <s v="No"/>
    <s v="NULL"/>
    <n v="54"/>
    <x v="3"/>
    <n v="0"/>
  </r>
  <r>
    <n v="1736"/>
    <x v="7"/>
    <d v="2024-12-07T00:00:00"/>
    <s v="No"/>
    <s v="NULL"/>
    <n v="20"/>
    <x v="2"/>
    <n v="0"/>
  </r>
  <r>
    <n v="1743"/>
    <x v="7"/>
    <d v="2025-07-11T00:00:00"/>
    <s v="No"/>
    <s v="NULL"/>
    <n v="13"/>
    <x v="2"/>
    <n v="0"/>
  </r>
  <r>
    <n v="1785"/>
    <x v="7"/>
    <d v="2024-09-30T00:00:00"/>
    <s v="Yes"/>
    <d v="2025-04-22T00:00:00"/>
    <n v="6"/>
    <x v="0"/>
    <n v="1"/>
  </r>
  <r>
    <n v="1009"/>
    <x v="8"/>
    <d v="2023-11-05T00:00:00"/>
    <s v="No"/>
    <s v="NULL"/>
    <n v="33"/>
    <x v="2"/>
    <n v="0"/>
  </r>
  <r>
    <n v="1052"/>
    <x v="8"/>
    <d v="2023-01-26T00:00:00"/>
    <s v="No"/>
    <s v="NULL"/>
    <n v="42"/>
    <x v="3"/>
    <n v="0"/>
  </r>
  <r>
    <n v="1062"/>
    <x v="8"/>
    <d v="2025-04-17T00:00:00"/>
    <s v="No"/>
    <s v="NULL"/>
    <n v="15"/>
    <x v="2"/>
    <n v="0"/>
  </r>
  <r>
    <n v="1065"/>
    <x v="8"/>
    <d v="2023-12-23T00:00:00"/>
    <s v="No"/>
    <s v="NULL"/>
    <n v="31"/>
    <x v="2"/>
    <n v="0"/>
  </r>
  <r>
    <n v="1096"/>
    <x v="8"/>
    <d v="2023-11-24T00:00:00"/>
    <s v="Yes"/>
    <d v="2025-09-27T00:00:00"/>
    <n v="22"/>
    <x v="2"/>
    <n v="1"/>
  </r>
  <r>
    <n v="1112"/>
    <x v="8"/>
    <d v="2023-11-27T00:00:00"/>
    <s v="No"/>
    <s v="NULL"/>
    <n v="32"/>
    <x v="2"/>
    <n v="0"/>
  </r>
  <r>
    <n v="1126"/>
    <x v="8"/>
    <d v="2025-08-18T00:00:00"/>
    <s v="Yes"/>
    <d v="2025-09-17T00:00:00"/>
    <n v="0"/>
    <x v="0"/>
    <n v="1"/>
  </r>
  <r>
    <n v="1199"/>
    <x v="8"/>
    <d v="2023-12-08T00:00:00"/>
    <s v="No"/>
    <s v="NULL"/>
    <n v="32"/>
    <x v="2"/>
    <n v="0"/>
  </r>
  <r>
    <n v="1232"/>
    <x v="8"/>
    <d v="2025-01-09T00:00:00"/>
    <s v="No"/>
    <s v="NULL"/>
    <n v="19"/>
    <x v="2"/>
    <n v="0"/>
  </r>
  <r>
    <n v="1267"/>
    <x v="8"/>
    <d v="2025-09-01T00:00:00"/>
    <s v="No"/>
    <s v="NULL"/>
    <n v="11"/>
    <x v="0"/>
    <n v="0"/>
  </r>
  <r>
    <n v="1284"/>
    <x v="8"/>
    <d v="2023-01-17T00:00:00"/>
    <s v="Yes"/>
    <d v="2025-07-27T00:00:00"/>
    <n v="30"/>
    <x v="2"/>
    <n v="1"/>
  </r>
  <r>
    <n v="1357"/>
    <x v="8"/>
    <d v="2024-04-23T00:00:00"/>
    <s v="Yes"/>
    <d v="2025-02-07T00:00:00"/>
    <n v="9"/>
    <x v="0"/>
    <n v="1"/>
  </r>
  <r>
    <n v="1421"/>
    <x v="8"/>
    <d v="2023-11-05T00:00:00"/>
    <s v="No"/>
    <s v="NULL"/>
    <n v="33"/>
    <x v="2"/>
    <n v="0"/>
  </r>
  <r>
    <n v="1463"/>
    <x v="8"/>
    <d v="2023-09-21T00:00:00"/>
    <s v="No"/>
    <s v="NULL"/>
    <n v="34"/>
    <x v="2"/>
    <n v="0"/>
  </r>
  <r>
    <n v="1509"/>
    <x v="8"/>
    <d v="2023-03-22T00:00:00"/>
    <s v="No"/>
    <s v="NULL"/>
    <n v="40"/>
    <x v="3"/>
    <n v="0"/>
  </r>
  <r>
    <n v="1635"/>
    <x v="8"/>
    <d v="2022-09-21T00:00:00"/>
    <s v="No"/>
    <s v="NULL"/>
    <n v="46"/>
    <x v="3"/>
    <n v="0"/>
  </r>
  <r>
    <n v="1655"/>
    <x v="8"/>
    <d v="2024-02-28T00:00:00"/>
    <s v="No"/>
    <s v="NULL"/>
    <n v="29"/>
    <x v="2"/>
    <n v="0"/>
  </r>
  <r>
    <n v="1656"/>
    <x v="8"/>
    <d v="2026-05-19T00:00:00"/>
    <s v="Yes"/>
    <d v="2026-06-18T00:00:00"/>
    <n v="0"/>
    <x v="0"/>
    <n v="1"/>
  </r>
  <r>
    <n v="1673"/>
    <x v="8"/>
    <d v="2025-07-30T00:00:00"/>
    <s v="No"/>
    <s v="NULL"/>
    <n v="12"/>
    <x v="2"/>
    <n v="0"/>
  </r>
  <r>
    <n v="1779"/>
    <x v="8"/>
    <d v="2021-02-05T00:00:00"/>
    <s v="No"/>
    <s v="NULL"/>
    <n v="66"/>
    <x v="1"/>
    <n v="0"/>
  </r>
  <r>
    <n v="1788"/>
    <x v="8"/>
    <d v="2025-06-10T00:00:00"/>
    <s v="No"/>
    <s v="NULL"/>
    <n v="14"/>
    <x v="2"/>
    <n v="0"/>
  </r>
  <r>
    <n v="1848"/>
    <x v="8"/>
    <d v="2023-12-15T00:00:00"/>
    <s v="No"/>
    <s v="NULL"/>
    <n v="31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/>
  <pivotFields count="8">
    <pivotField showAll="0"/>
    <pivotField axis="axisRow" showAll="0">
      <items count="10">
        <item x="5"/>
        <item x="2"/>
        <item x="0"/>
        <item x="8"/>
        <item x="4"/>
        <item x="6"/>
        <item x="7"/>
        <item x="1"/>
        <item x="3"/>
        <item t="default"/>
      </items>
    </pivotField>
    <pivotField numFmtId="14"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sLeaver" fld="7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71941-708B-49E3-969F-3B89C18FA06D}" name="Table1" displayName="Table1" ref="A1:H866" totalsRowShown="0">
  <autoFilter ref="A1:H866" xr:uid="{95F71941-708B-49E3-969F-3B89C18FA06D}"/>
  <tableColumns count="8">
    <tableColumn id="1" xr3:uid="{BDE4CF9E-E481-431E-A215-F214E0B16F5B}" name="EmployeeID"/>
    <tableColumn id="2" xr3:uid="{CF9201FC-1576-438E-B1C6-FB623FF42CC1}" name="DepartmentName"/>
    <tableColumn id="3" xr3:uid="{9B958C6F-6232-427D-AFA7-13BB3F979BD7}" name="HireDate" dataDxfId="0"/>
    <tableColumn id="4" xr3:uid="{24BB0985-4A37-49DC-A437-5C6DA3DD6FE9}" name="Attrition"/>
    <tableColumn id="5" xr3:uid="{C36EB84C-E7BD-44DE-9D83-5846A5C76024}" name="ExitDate"/>
    <tableColumn id="6" xr3:uid="{C849CDD8-B248-4F45-8D93-72F2162A076B}" name="TenureMonths">
      <calculatedColumnFormula>DATEDIF(C2, IF(OR(E2="",E2="NULL"), TODAY(), E2), "m")</calculatedColumnFormula>
    </tableColumn>
    <tableColumn id="7" xr3:uid="{A04CED60-330D-47E7-88F9-4ED2A42AA2A9}" name="Tenure Band">
      <calculatedColumnFormula>IF(F2&lt;12,"1. &lt;1yr",IF(F2&lt;36,"2. 1-3yr",IF(F2&lt;60,"3. 3-5yr","4. 5+yr")))</calculatedColumnFormula>
    </tableColumn>
    <tableColumn id="8" xr3:uid="{9E212712-E0FD-406F-8C69-7433014910DB}" name="IsLeaver">
      <calculatedColumnFormula>IF(D2="Yes",1,0)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6"/>
  <sheetViews>
    <sheetView showGridLines="0" workbookViewId="0">
      <selection activeCell="D24" sqref="A2:H866"/>
    </sheetView>
  </sheetViews>
  <sheetFormatPr defaultRowHeight="14.4" x14ac:dyDescent="0.3"/>
  <cols>
    <col min="1" max="1" width="13" customWidth="1"/>
    <col min="2" max="2" width="18" customWidth="1"/>
    <col min="3" max="3" width="10.5546875" bestFit="1" customWidth="1"/>
    <col min="4" max="4" width="9.88671875" customWidth="1"/>
    <col min="5" max="5" width="10.5546875" bestFit="1" customWidth="1"/>
    <col min="6" max="6" width="15.33203125" customWidth="1"/>
    <col min="7" max="7" width="13.5546875" customWidth="1"/>
    <col min="8" max="8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</row>
    <row r="2" spans="1:8" x14ac:dyDescent="0.3">
      <c r="A2">
        <v>1008</v>
      </c>
      <c r="B2" t="s">
        <v>5</v>
      </c>
      <c r="C2" s="1">
        <v>46111</v>
      </c>
      <c r="D2" t="s">
        <v>6</v>
      </c>
      <c r="E2" s="1">
        <v>46141</v>
      </c>
      <c r="F2">
        <f ca="1">DATEDIF(C2, IF(OR(E2="",E2="NULL"), TODAY(), E2), "m")</f>
        <v>0</v>
      </c>
      <c r="G2" t="str">
        <f ca="1">IF(F2&lt;12,"1. &lt;1yr",IF(F2&lt;36,"2. 1-3yr",IF(F2&lt;60,"3. 3-5yr","4. 5+yr")))</f>
        <v>1. &lt;1yr</v>
      </c>
      <c r="H2">
        <f>IF(D2="Yes",1,0)</f>
        <v>1</v>
      </c>
    </row>
    <row r="3" spans="1:8" x14ac:dyDescent="0.3">
      <c r="A3">
        <v>1010</v>
      </c>
      <c r="B3" t="s">
        <v>5</v>
      </c>
      <c r="C3" s="1">
        <v>43780</v>
      </c>
      <c r="D3" t="s">
        <v>7</v>
      </c>
      <c r="E3" t="s">
        <v>8</v>
      </c>
      <c r="F3">
        <f t="shared" ref="F3:F66" ca="1" si="0">DATEDIF(C3, IF(OR(E3="",E3="NULL"), TODAY(), E3), "m")</f>
        <v>81</v>
      </c>
      <c r="G3" t="str">
        <f t="shared" ref="G3:G66" ca="1" si="1">IF(F3&lt;12,"1. &lt;1yr",IF(F3&lt;36,"2. 1-3yr",IF(F3&lt;60,"3. 3-5yr","4. 5+yr")))</f>
        <v>4. 5+yr</v>
      </c>
      <c r="H3">
        <f t="shared" ref="H3:H66" si="2">IF(D3="Yes",1,0)</f>
        <v>0</v>
      </c>
    </row>
    <row r="4" spans="1:8" x14ac:dyDescent="0.3">
      <c r="A4">
        <v>1013</v>
      </c>
      <c r="B4" t="s">
        <v>5</v>
      </c>
      <c r="C4" s="1">
        <v>46110</v>
      </c>
      <c r="D4" t="s">
        <v>7</v>
      </c>
      <c r="E4" t="s">
        <v>8</v>
      </c>
      <c r="F4">
        <f t="shared" ca="1" si="0"/>
        <v>4</v>
      </c>
      <c r="G4" t="str">
        <f t="shared" ca="1" si="1"/>
        <v>1. &lt;1yr</v>
      </c>
      <c r="H4">
        <f t="shared" si="2"/>
        <v>0</v>
      </c>
    </row>
    <row r="5" spans="1:8" x14ac:dyDescent="0.3">
      <c r="A5">
        <v>1016</v>
      </c>
      <c r="B5" t="s">
        <v>5</v>
      </c>
      <c r="C5" s="1">
        <v>44525</v>
      </c>
      <c r="D5" t="s">
        <v>6</v>
      </c>
      <c r="E5" s="1">
        <v>45342</v>
      </c>
      <c r="F5">
        <f t="shared" ca="1" si="0"/>
        <v>26</v>
      </c>
      <c r="G5" t="str">
        <f t="shared" ca="1" si="1"/>
        <v>2. 1-3yr</v>
      </c>
      <c r="H5">
        <f t="shared" si="2"/>
        <v>1</v>
      </c>
    </row>
    <row r="6" spans="1:8" x14ac:dyDescent="0.3">
      <c r="A6">
        <v>1017</v>
      </c>
      <c r="B6" t="s">
        <v>5</v>
      </c>
      <c r="C6" s="1">
        <v>45978</v>
      </c>
      <c r="D6" t="s">
        <v>7</v>
      </c>
      <c r="E6" t="s">
        <v>8</v>
      </c>
      <c r="F6">
        <f t="shared" ca="1" si="0"/>
        <v>9</v>
      </c>
      <c r="G6" t="str">
        <f t="shared" ca="1" si="1"/>
        <v>1. &lt;1yr</v>
      </c>
      <c r="H6">
        <f t="shared" si="2"/>
        <v>0</v>
      </c>
    </row>
    <row r="7" spans="1:8" x14ac:dyDescent="0.3">
      <c r="A7">
        <v>1022</v>
      </c>
      <c r="B7" t="s">
        <v>5</v>
      </c>
      <c r="C7" s="1">
        <v>45885</v>
      </c>
      <c r="D7" t="s">
        <v>7</v>
      </c>
      <c r="E7" t="s">
        <v>8</v>
      </c>
      <c r="F7">
        <f t="shared" ca="1" si="0"/>
        <v>12</v>
      </c>
      <c r="G7" t="str">
        <f t="shared" ca="1" si="1"/>
        <v>2. 1-3yr</v>
      </c>
      <c r="H7">
        <f t="shared" si="2"/>
        <v>0</v>
      </c>
    </row>
    <row r="8" spans="1:8" x14ac:dyDescent="0.3">
      <c r="A8">
        <v>1023</v>
      </c>
      <c r="B8" t="s">
        <v>5</v>
      </c>
      <c r="C8" s="1">
        <v>44781</v>
      </c>
      <c r="D8" t="s">
        <v>7</v>
      </c>
      <c r="E8" t="s">
        <v>8</v>
      </c>
      <c r="F8">
        <f t="shared" ca="1" si="0"/>
        <v>48</v>
      </c>
      <c r="G8" t="str">
        <f t="shared" ca="1" si="1"/>
        <v>3. 3-5yr</v>
      </c>
      <c r="H8">
        <f t="shared" si="2"/>
        <v>0</v>
      </c>
    </row>
    <row r="9" spans="1:8" x14ac:dyDescent="0.3">
      <c r="A9">
        <v>1024</v>
      </c>
      <c r="B9" t="s">
        <v>5</v>
      </c>
      <c r="C9" s="1">
        <v>45235</v>
      </c>
      <c r="D9" t="s">
        <v>6</v>
      </c>
      <c r="E9" s="1">
        <v>45981</v>
      </c>
      <c r="F9">
        <f t="shared" ca="1" si="0"/>
        <v>24</v>
      </c>
      <c r="G9" t="str">
        <f t="shared" ca="1" si="1"/>
        <v>2. 1-3yr</v>
      </c>
      <c r="H9">
        <f t="shared" si="2"/>
        <v>1</v>
      </c>
    </row>
    <row r="10" spans="1:8" x14ac:dyDescent="0.3">
      <c r="A10">
        <v>1029</v>
      </c>
      <c r="B10" t="s">
        <v>5</v>
      </c>
      <c r="C10" s="1">
        <v>45766</v>
      </c>
      <c r="D10" t="s">
        <v>6</v>
      </c>
      <c r="E10" s="1">
        <v>46034</v>
      </c>
      <c r="F10">
        <f t="shared" ca="1" si="0"/>
        <v>8</v>
      </c>
      <c r="G10" t="str">
        <f t="shared" ca="1" si="1"/>
        <v>1. &lt;1yr</v>
      </c>
      <c r="H10">
        <f t="shared" si="2"/>
        <v>1</v>
      </c>
    </row>
    <row r="11" spans="1:8" x14ac:dyDescent="0.3">
      <c r="A11">
        <v>1030</v>
      </c>
      <c r="B11" t="s">
        <v>5</v>
      </c>
      <c r="C11" s="1">
        <v>44445</v>
      </c>
      <c r="D11" t="s">
        <v>7</v>
      </c>
      <c r="E11" t="s">
        <v>8</v>
      </c>
      <c r="F11">
        <f t="shared" ca="1" si="0"/>
        <v>59</v>
      </c>
      <c r="G11" t="str">
        <f t="shared" ca="1" si="1"/>
        <v>3. 3-5yr</v>
      </c>
      <c r="H11">
        <f t="shared" si="2"/>
        <v>0</v>
      </c>
    </row>
    <row r="12" spans="1:8" x14ac:dyDescent="0.3">
      <c r="A12">
        <v>1031</v>
      </c>
      <c r="B12" t="s">
        <v>5</v>
      </c>
      <c r="C12" s="1">
        <v>45844</v>
      </c>
      <c r="D12" t="s">
        <v>7</v>
      </c>
      <c r="E12" t="s">
        <v>8</v>
      </c>
      <c r="F12">
        <f t="shared" ca="1" si="0"/>
        <v>13</v>
      </c>
      <c r="G12" t="str">
        <f t="shared" ca="1" si="1"/>
        <v>2. 1-3yr</v>
      </c>
      <c r="H12">
        <f t="shared" si="2"/>
        <v>0</v>
      </c>
    </row>
    <row r="13" spans="1:8" x14ac:dyDescent="0.3">
      <c r="A13">
        <v>1032</v>
      </c>
      <c r="B13" t="s">
        <v>5</v>
      </c>
      <c r="C13" s="1">
        <v>45776</v>
      </c>
      <c r="D13" t="s">
        <v>6</v>
      </c>
      <c r="E13" s="1">
        <v>45988</v>
      </c>
      <c r="F13">
        <f t="shared" ca="1" si="0"/>
        <v>6</v>
      </c>
      <c r="G13" t="str">
        <f t="shared" ca="1" si="1"/>
        <v>1. &lt;1yr</v>
      </c>
      <c r="H13">
        <f t="shared" si="2"/>
        <v>1</v>
      </c>
    </row>
    <row r="14" spans="1:8" x14ac:dyDescent="0.3">
      <c r="A14">
        <v>1034</v>
      </c>
      <c r="B14" t="s">
        <v>5</v>
      </c>
      <c r="C14" s="1">
        <v>45355</v>
      </c>
      <c r="D14" t="s">
        <v>7</v>
      </c>
      <c r="E14" t="s">
        <v>8</v>
      </c>
      <c r="F14">
        <f t="shared" ca="1" si="0"/>
        <v>29</v>
      </c>
      <c r="G14" t="str">
        <f t="shared" ca="1" si="1"/>
        <v>2. 1-3yr</v>
      </c>
      <c r="H14">
        <f t="shared" si="2"/>
        <v>0</v>
      </c>
    </row>
    <row r="15" spans="1:8" x14ac:dyDescent="0.3">
      <c r="A15">
        <v>1037</v>
      </c>
      <c r="B15" t="s">
        <v>5</v>
      </c>
      <c r="C15" s="1">
        <v>45263</v>
      </c>
      <c r="D15" t="s">
        <v>7</v>
      </c>
      <c r="E15" t="s">
        <v>8</v>
      </c>
      <c r="F15">
        <f t="shared" ca="1" si="0"/>
        <v>32</v>
      </c>
      <c r="G15" t="str">
        <f t="shared" ca="1" si="1"/>
        <v>2. 1-3yr</v>
      </c>
      <c r="H15">
        <f t="shared" si="2"/>
        <v>0</v>
      </c>
    </row>
    <row r="16" spans="1:8" x14ac:dyDescent="0.3">
      <c r="A16">
        <v>1038</v>
      </c>
      <c r="B16" t="s">
        <v>5</v>
      </c>
      <c r="C16" s="1">
        <v>44868</v>
      </c>
      <c r="D16" t="s">
        <v>7</v>
      </c>
      <c r="E16" t="s">
        <v>8</v>
      </c>
      <c r="F16">
        <f t="shared" ca="1" si="0"/>
        <v>45</v>
      </c>
      <c r="G16" t="str">
        <f t="shared" ca="1" si="1"/>
        <v>3. 3-5yr</v>
      </c>
      <c r="H16">
        <f t="shared" si="2"/>
        <v>0</v>
      </c>
    </row>
    <row r="17" spans="1:8" x14ac:dyDescent="0.3">
      <c r="A17">
        <v>1040</v>
      </c>
      <c r="B17" t="s">
        <v>5</v>
      </c>
      <c r="C17" s="1">
        <v>45804</v>
      </c>
      <c r="D17" t="s">
        <v>7</v>
      </c>
      <c r="E17" t="s">
        <v>8</v>
      </c>
      <c r="F17">
        <f t="shared" ca="1" si="0"/>
        <v>14</v>
      </c>
      <c r="G17" t="str">
        <f t="shared" ca="1" si="1"/>
        <v>2. 1-3yr</v>
      </c>
      <c r="H17">
        <f t="shared" si="2"/>
        <v>0</v>
      </c>
    </row>
    <row r="18" spans="1:8" x14ac:dyDescent="0.3">
      <c r="A18">
        <v>1042</v>
      </c>
      <c r="B18" t="s">
        <v>5</v>
      </c>
      <c r="C18" s="1">
        <v>46009</v>
      </c>
      <c r="D18" t="s">
        <v>7</v>
      </c>
      <c r="E18" t="s">
        <v>8</v>
      </c>
      <c r="F18">
        <f t="shared" ca="1" si="0"/>
        <v>8</v>
      </c>
      <c r="G18" t="str">
        <f t="shared" ca="1" si="1"/>
        <v>1. &lt;1yr</v>
      </c>
      <c r="H18">
        <f t="shared" si="2"/>
        <v>0</v>
      </c>
    </row>
    <row r="19" spans="1:8" x14ac:dyDescent="0.3">
      <c r="A19">
        <v>1047</v>
      </c>
      <c r="B19" t="s">
        <v>5</v>
      </c>
      <c r="C19" s="1">
        <v>46051</v>
      </c>
      <c r="D19" t="s">
        <v>7</v>
      </c>
      <c r="E19" t="s">
        <v>8</v>
      </c>
      <c r="F19">
        <f t="shared" ca="1" si="0"/>
        <v>6</v>
      </c>
      <c r="G19" t="str">
        <f t="shared" ca="1" si="1"/>
        <v>1. &lt;1yr</v>
      </c>
      <c r="H19">
        <f t="shared" si="2"/>
        <v>0</v>
      </c>
    </row>
    <row r="20" spans="1:8" x14ac:dyDescent="0.3">
      <c r="A20">
        <v>1053</v>
      </c>
      <c r="B20" t="s">
        <v>5</v>
      </c>
      <c r="C20" s="1">
        <v>46152</v>
      </c>
      <c r="D20" t="s">
        <v>6</v>
      </c>
      <c r="E20" s="1">
        <v>46182</v>
      </c>
      <c r="F20">
        <f t="shared" ca="1" si="0"/>
        <v>0</v>
      </c>
      <c r="G20" t="str">
        <f t="shared" ca="1" si="1"/>
        <v>1. &lt;1yr</v>
      </c>
      <c r="H20">
        <f t="shared" si="2"/>
        <v>1</v>
      </c>
    </row>
    <row r="21" spans="1:8" x14ac:dyDescent="0.3">
      <c r="A21">
        <v>1060</v>
      </c>
      <c r="B21" t="s">
        <v>5</v>
      </c>
      <c r="C21" s="1">
        <v>44042</v>
      </c>
      <c r="D21" t="s">
        <v>7</v>
      </c>
      <c r="E21" t="s">
        <v>8</v>
      </c>
      <c r="F21">
        <f t="shared" ca="1" si="0"/>
        <v>72</v>
      </c>
      <c r="G21" t="str">
        <f t="shared" ca="1" si="1"/>
        <v>4. 5+yr</v>
      </c>
      <c r="H21">
        <f t="shared" si="2"/>
        <v>0</v>
      </c>
    </row>
    <row r="22" spans="1:8" x14ac:dyDescent="0.3">
      <c r="A22">
        <v>1061</v>
      </c>
      <c r="B22" t="s">
        <v>5</v>
      </c>
      <c r="C22" s="1">
        <v>45835</v>
      </c>
      <c r="D22" t="s">
        <v>6</v>
      </c>
      <c r="E22" s="1">
        <v>46125</v>
      </c>
      <c r="F22">
        <f t="shared" ca="1" si="0"/>
        <v>9</v>
      </c>
      <c r="G22" t="str">
        <f t="shared" ca="1" si="1"/>
        <v>1. &lt;1yr</v>
      </c>
      <c r="H22">
        <f t="shared" si="2"/>
        <v>1</v>
      </c>
    </row>
    <row r="23" spans="1:8" x14ac:dyDescent="0.3">
      <c r="A23">
        <v>1070</v>
      </c>
      <c r="B23" t="s">
        <v>5</v>
      </c>
      <c r="C23" s="1">
        <v>45681</v>
      </c>
      <c r="D23" t="s">
        <v>7</v>
      </c>
      <c r="E23" t="s">
        <v>8</v>
      </c>
      <c r="F23">
        <f t="shared" ca="1" si="0"/>
        <v>18</v>
      </c>
      <c r="G23" t="str">
        <f t="shared" ca="1" si="1"/>
        <v>2. 1-3yr</v>
      </c>
      <c r="H23">
        <f t="shared" si="2"/>
        <v>0</v>
      </c>
    </row>
    <row r="24" spans="1:8" x14ac:dyDescent="0.3">
      <c r="A24">
        <v>1079</v>
      </c>
      <c r="B24" t="s">
        <v>5</v>
      </c>
      <c r="C24" s="1">
        <v>45517</v>
      </c>
      <c r="D24" t="s">
        <v>6</v>
      </c>
      <c r="E24" s="1">
        <v>45761</v>
      </c>
      <c r="F24">
        <f t="shared" ca="1" si="0"/>
        <v>8</v>
      </c>
      <c r="G24" t="str">
        <f t="shared" ca="1" si="1"/>
        <v>1. &lt;1yr</v>
      </c>
      <c r="H24">
        <f t="shared" si="2"/>
        <v>1</v>
      </c>
    </row>
    <row r="25" spans="1:8" x14ac:dyDescent="0.3">
      <c r="A25">
        <v>1081</v>
      </c>
      <c r="B25" t="s">
        <v>5</v>
      </c>
      <c r="C25" s="1">
        <v>45610</v>
      </c>
      <c r="D25" t="s">
        <v>7</v>
      </c>
      <c r="E25" t="s">
        <v>8</v>
      </c>
      <c r="F25">
        <f t="shared" ca="1" si="0"/>
        <v>21</v>
      </c>
      <c r="G25" t="str">
        <f t="shared" ca="1" si="1"/>
        <v>2. 1-3yr</v>
      </c>
      <c r="H25">
        <f t="shared" si="2"/>
        <v>0</v>
      </c>
    </row>
    <row r="26" spans="1:8" x14ac:dyDescent="0.3">
      <c r="A26">
        <v>1083</v>
      </c>
      <c r="B26" t="s">
        <v>5</v>
      </c>
      <c r="C26" s="1">
        <v>45469</v>
      </c>
      <c r="D26" t="s">
        <v>7</v>
      </c>
      <c r="E26" t="s">
        <v>8</v>
      </c>
      <c r="F26">
        <f t="shared" ca="1" si="0"/>
        <v>25</v>
      </c>
      <c r="G26" t="str">
        <f t="shared" ca="1" si="1"/>
        <v>2. 1-3yr</v>
      </c>
      <c r="H26">
        <f t="shared" si="2"/>
        <v>0</v>
      </c>
    </row>
    <row r="27" spans="1:8" x14ac:dyDescent="0.3">
      <c r="A27">
        <v>1084</v>
      </c>
      <c r="B27" t="s">
        <v>5</v>
      </c>
      <c r="C27" s="1">
        <v>43781</v>
      </c>
      <c r="D27" t="s">
        <v>7</v>
      </c>
      <c r="E27" t="s">
        <v>8</v>
      </c>
      <c r="F27">
        <f t="shared" ca="1" si="0"/>
        <v>81</v>
      </c>
      <c r="G27" t="str">
        <f t="shared" ca="1" si="1"/>
        <v>4. 5+yr</v>
      </c>
      <c r="H27">
        <f t="shared" si="2"/>
        <v>0</v>
      </c>
    </row>
    <row r="28" spans="1:8" x14ac:dyDescent="0.3">
      <c r="A28">
        <v>1089</v>
      </c>
      <c r="B28" t="s">
        <v>5</v>
      </c>
      <c r="C28" s="1">
        <v>45445</v>
      </c>
      <c r="D28" t="s">
        <v>7</v>
      </c>
      <c r="E28" t="s">
        <v>8</v>
      </c>
      <c r="F28">
        <f t="shared" ca="1" si="0"/>
        <v>26</v>
      </c>
      <c r="G28" t="str">
        <f t="shared" ca="1" si="1"/>
        <v>2. 1-3yr</v>
      </c>
      <c r="H28">
        <f t="shared" si="2"/>
        <v>0</v>
      </c>
    </row>
    <row r="29" spans="1:8" x14ac:dyDescent="0.3">
      <c r="A29">
        <v>1098</v>
      </c>
      <c r="B29" t="s">
        <v>5</v>
      </c>
      <c r="C29" s="1">
        <v>45639</v>
      </c>
      <c r="D29" t="s">
        <v>7</v>
      </c>
      <c r="E29" t="s">
        <v>8</v>
      </c>
      <c r="F29">
        <f t="shared" ca="1" si="0"/>
        <v>20</v>
      </c>
      <c r="G29" t="str">
        <f t="shared" ca="1" si="1"/>
        <v>2. 1-3yr</v>
      </c>
      <c r="H29">
        <f t="shared" si="2"/>
        <v>0</v>
      </c>
    </row>
    <row r="30" spans="1:8" x14ac:dyDescent="0.3">
      <c r="A30">
        <v>1100</v>
      </c>
      <c r="B30" t="s">
        <v>5</v>
      </c>
      <c r="C30" s="1">
        <v>44475</v>
      </c>
      <c r="D30" t="s">
        <v>7</v>
      </c>
      <c r="E30" t="s">
        <v>8</v>
      </c>
      <c r="F30">
        <f t="shared" ca="1" si="0"/>
        <v>58</v>
      </c>
      <c r="G30" t="str">
        <f t="shared" ca="1" si="1"/>
        <v>3. 3-5yr</v>
      </c>
      <c r="H30">
        <f t="shared" si="2"/>
        <v>0</v>
      </c>
    </row>
    <row r="31" spans="1:8" x14ac:dyDescent="0.3">
      <c r="A31">
        <v>1101</v>
      </c>
      <c r="B31" t="s">
        <v>5</v>
      </c>
      <c r="C31" s="1">
        <v>46165</v>
      </c>
      <c r="D31" t="s">
        <v>7</v>
      </c>
      <c r="E31" t="s">
        <v>8</v>
      </c>
      <c r="F31">
        <f t="shared" ca="1" si="0"/>
        <v>2</v>
      </c>
      <c r="G31" t="str">
        <f t="shared" ca="1" si="1"/>
        <v>1. &lt;1yr</v>
      </c>
      <c r="H31">
        <f t="shared" si="2"/>
        <v>0</v>
      </c>
    </row>
    <row r="32" spans="1:8" x14ac:dyDescent="0.3">
      <c r="A32">
        <v>1104</v>
      </c>
      <c r="B32" t="s">
        <v>5</v>
      </c>
      <c r="C32" s="1">
        <v>44336</v>
      </c>
      <c r="D32" t="s">
        <v>7</v>
      </c>
      <c r="E32" t="s">
        <v>8</v>
      </c>
      <c r="F32">
        <f t="shared" ca="1" si="0"/>
        <v>62</v>
      </c>
      <c r="G32" t="str">
        <f t="shared" ca="1" si="1"/>
        <v>4. 5+yr</v>
      </c>
      <c r="H32">
        <f t="shared" si="2"/>
        <v>0</v>
      </c>
    </row>
    <row r="33" spans="1:8" x14ac:dyDescent="0.3">
      <c r="A33">
        <v>1105</v>
      </c>
      <c r="B33" t="s">
        <v>5</v>
      </c>
      <c r="C33" s="1">
        <v>44765</v>
      </c>
      <c r="D33" t="s">
        <v>7</v>
      </c>
      <c r="E33" t="s">
        <v>8</v>
      </c>
      <c r="F33">
        <f t="shared" ca="1" si="0"/>
        <v>48</v>
      </c>
      <c r="G33" t="str">
        <f t="shared" ca="1" si="1"/>
        <v>3. 3-5yr</v>
      </c>
      <c r="H33">
        <f t="shared" si="2"/>
        <v>0</v>
      </c>
    </row>
    <row r="34" spans="1:8" x14ac:dyDescent="0.3">
      <c r="A34">
        <v>1106</v>
      </c>
      <c r="B34" t="s">
        <v>5</v>
      </c>
      <c r="C34" s="1">
        <v>45021</v>
      </c>
      <c r="D34" t="s">
        <v>7</v>
      </c>
      <c r="E34" t="s">
        <v>8</v>
      </c>
      <c r="F34">
        <f t="shared" ca="1" si="0"/>
        <v>40</v>
      </c>
      <c r="G34" t="str">
        <f t="shared" ca="1" si="1"/>
        <v>3. 3-5yr</v>
      </c>
      <c r="H34">
        <f t="shared" si="2"/>
        <v>0</v>
      </c>
    </row>
    <row r="35" spans="1:8" x14ac:dyDescent="0.3">
      <c r="A35">
        <v>1107</v>
      </c>
      <c r="B35" t="s">
        <v>5</v>
      </c>
      <c r="C35" s="1">
        <v>44827</v>
      </c>
      <c r="D35" t="s">
        <v>7</v>
      </c>
      <c r="E35" t="s">
        <v>8</v>
      </c>
      <c r="F35">
        <f t="shared" ca="1" si="0"/>
        <v>46</v>
      </c>
      <c r="G35" t="str">
        <f t="shared" ca="1" si="1"/>
        <v>3. 3-5yr</v>
      </c>
      <c r="H35">
        <f t="shared" si="2"/>
        <v>0</v>
      </c>
    </row>
    <row r="36" spans="1:8" x14ac:dyDescent="0.3">
      <c r="A36">
        <v>1109</v>
      </c>
      <c r="B36" t="s">
        <v>5</v>
      </c>
      <c r="C36" s="1">
        <v>45525</v>
      </c>
      <c r="D36" t="s">
        <v>7</v>
      </c>
      <c r="E36" t="s">
        <v>8</v>
      </c>
      <c r="F36">
        <f t="shared" ca="1" si="0"/>
        <v>23</v>
      </c>
      <c r="G36" t="str">
        <f t="shared" ca="1" si="1"/>
        <v>2. 1-3yr</v>
      </c>
      <c r="H36">
        <f t="shared" si="2"/>
        <v>0</v>
      </c>
    </row>
    <row r="37" spans="1:8" x14ac:dyDescent="0.3">
      <c r="A37">
        <v>1111</v>
      </c>
      <c r="B37" t="s">
        <v>5</v>
      </c>
      <c r="C37" s="1">
        <v>45964</v>
      </c>
      <c r="D37" t="s">
        <v>6</v>
      </c>
      <c r="E37" s="1">
        <v>45994</v>
      </c>
      <c r="F37">
        <f t="shared" ca="1" si="0"/>
        <v>1</v>
      </c>
      <c r="G37" t="str">
        <f t="shared" ca="1" si="1"/>
        <v>1. &lt;1yr</v>
      </c>
      <c r="H37">
        <f t="shared" si="2"/>
        <v>1</v>
      </c>
    </row>
    <row r="38" spans="1:8" x14ac:dyDescent="0.3">
      <c r="A38">
        <v>1116</v>
      </c>
      <c r="B38" t="s">
        <v>5</v>
      </c>
      <c r="C38" s="1">
        <v>45752</v>
      </c>
      <c r="D38" t="s">
        <v>6</v>
      </c>
      <c r="E38" s="1">
        <v>46118</v>
      </c>
      <c r="F38">
        <f t="shared" ca="1" si="0"/>
        <v>12</v>
      </c>
      <c r="G38" t="str">
        <f t="shared" ca="1" si="1"/>
        <v>2. 1-3yr</v>
      </c>
      <c r="H38">
        <f t="shared" si="2"/>
        <v>1</v>
      </c>
    </row>
    <row r="39" spans="1:8" x14ac:dyDescent="0.3">
      <c r="A39">
        <v>1118</v>
      </c>
      <c r="B39" t="s">
        <v>5</v>
      </c>
      <c r="C39" s="1">
        <v>45899</v>
      </c>
      <c r="D39" t="s">
        <v>7</v>
      </c>
      <c r="E39" t="s">
        <v>8</v>
      </c>
      <c r="F39">
        <f t="shared" ca="1" si="0"/>
        <v>11</v>
      </c>
      <c r="G39" t="str">
        <f t="shared" ca="1" si="1"/>
        <v>1. &lt;1yr</v>
      </c>
      <c r="H39">
        <f t="shared" si="2"/>
        <v>0</v>
      </c>
    </row>
    <row r="40" spans="1:8" x14ac:dyDescent="0.3">
      <c r="A40">
        <v>1119</v>
      </c>
      <c r="B40" t="s">
        <v>5</v>
      </c>
      <c r="C40" s="1">
        <v>43833</v>
      </c>
      <c r="D40" t="s">
        <v>7</v>
      </c>
      <c r="E40" t="s">
        <v>8</v>
      </c>
      <c r="F40">
        <f t="shared" ca="1" si="0"/>
        <v>79</v>
      </c>
      <c r="G40" t="str">
        <f t="shared" ca="1" si="1"/>
        <v>4. 5+yr</v>
      </c>
      <c r="H40">
        <f t="shared" si="2"/>
        <v>0</v>
      </c>
    </row>
    <row r="41" spans="1:8" x14ac:dyDescent="0.3">
      <c r="A41">
        <v>1120</v>
      </c>
      <c r="B41" t="s">
        <v>5</v>
      </c>
      <c r="C41" s="1">
        <v>44805</v>
      </c>
      <c r="D41" t="s">
        <v>7</v>
      </c>
      <c r="E41" t="s">
        <v>8</v>
      </c>
      <c r="F41">
        <f t="shared" ca="1" si="0"/>
        <v>47</v>
      </c>
      <c r="G41" t="str">
        <f t="shared" ca="1" si="1"/>
        <v>3. 3-5yr</v>
      </c>
      <c r="H41">
        <f t="shared" si="2"/>
        <v>0</v>
      </c>
    </row>
    <row r="42" spans="1:8" x14ac:dyDescent="0.3">
      <c r="A42">
        <v>1121</v>
      </c>
      <c r="B42" t="s">
        <v>5</v>
      </c>
      <c r="C42" s="1">
        <v>45184</v>
      </c>
      <c r="D42" t="s">
        <v>6</v>
      </c>
      <c r="E42" s="1">
        <v>45818</v>
      </c>
      <c r="F42">
        <f t="shared" ca="1" si="0"/>
        <v>20</v>
      </c>
      <c r="G42" t="str">
        <f t="shared" ca="1" si="1"/>
        <v>2. 1-3yr</v>
      </c>
      <c r="H42">
        <f t="shared" si="2"/>
        <v>1</v>
      </c>
    </row>
    <row r="43" spans="1:8" x14ac:dyDescent="0.3">
      <c r="A43">
        <v>1123</v>
      </c>
      <c r="B43" t="s">
        <v>5</v>
      </c>
      <c r="C43" s="1">
        <v>46202</v>
      </c>
      <c r="D43" t="s">
        <v>7</v>
      </c>
      <c r="E43" t="s">
        <v>8</v>
      </c>
      <c r="F43">
        <f t="shared" ca="1" si="0"/>
        <v>1</v>
      </c>
      <c r="G43" t="str">
        <f t="shared" ca="1" si="1"/>
        <v>1. &lt;1yr</v>
      </c>
      <c r="H43">
        <f t="shared" si="2"/>
        <v>0</v>
      </c>
    </row>
    <row r="44" spans="1:8" x14ac:dyDescent="0.3">
      <c r="A44">
        <v>1128</v>
      </c>
      <c r="B44" t="s">
        <v>5</v>
      </c>
      <c r="C44" s="1">
        <v>44623</v>
      </c>
      <c r="D44" t="s">
        <v>7</v>
      </c>
      <c r="E44" t="s">
        <v>8</v>
      </c>
      <c r="F44">
        <f t="shared" ca="1" si="0"/>
        <v>53</v>
      </c>
      <c r="G44" t="str">
        <f t="shared" ca="1" si="1"/>
        <v>3. 3-5yr</v>
      </c>
      <c r="H44">
        <f t="shared" si="2"/>
        <v>0</v>
      </c>
    </row>
    <row r="45" spans="1:8" x14ac:dyDescent="0.3">
      <c r="A45">
        <v>1137</v>
      </c>
      <c r="B45" t="s">
        <v>5</v>
      </c>
      <c r="C45" s="1">
        <v>44152</v>
      </c>
      <c r="D45" t="s">
        <v>7</v>
      </c>
      <c r="E45" t="s">
        <v>8</v>
      </c>
      <c r="F45">
        <f t="shared" ca="1" si="0"/>
        <v>69</v>
      </c>
      <c r="G45" t="str">
        <f t="shared" ca="1" si="1"/>
        <v>4. 5+yr</v>
      </c>
      <c r="H45">
        <f t="shared" si="2"/>
        <v>0</v>
      </c>
    </row>
    <row r="46" spans="1:8" x14ac:dyDescent="0.3">
      <c r="A46">
        <v>1142</v>
      </c>
      <c r="B46" t="s">
        <v>5</v>
      </c>
      <c r="C46" s="1">
        <v>45892</v>
      </c>
      <c r="D46" t="s">
        <v>7</v>
      </c>
      <c r="E46" t="s">
        <v>8</v>
      </c>
      <c r="F46">
        <f t="shared" ca="1" si="0"/>
        <v>11</v>
      </c>
      <c r="G46" t="str">
        <f t="shared" ca="1" si="1"/>
        <v>1. &lt;1yr</v>
      </c>
      <c r="H46">
        <f t="shared" si="2"/>
        <v>0</v>
      </c>
    </row>
    <row r="47" spans="1:8" x14ac:dyDescent="0.3">
      <c r="A47">
        <v>1146</v>
      </c>
      <c r="B47" t="s">
        <v>5</v>
      </c>
      <c r="C47" s="1">
        <v>43855</v>
      </c>
      <c r="D47" t="s">
        <v>7</v>
      </c>
      <c r="E47" t="s">
        <v>8</v>
      </c>
      <c r="F47">
        <f t="shared" ca="1" si="0"/>
        <v>78</v>
      </c>
      <c r="G47" t="str">
        <f t="shared" ca="1" si="1"/>
        <v>4. 5+yr</v>
      </c>
      <c r="H47">
        <f t="shared" si="2"/>
        <v>0</v>
      </c>
    </row>
    <row r="48" spans="1:8" x14ac:dyDescent="0.3">
      <c r="A48">
        <v>1154</v>
      </c>
      <c r="B48" t="s">
        <v>5</v>
      </c>
      <c r="C48" s="1">
        <v>44887</v>
      </c>
      <c r="D48" t="s">
        <v>7</v>
      </c>
      <c r="E48" t="s">
        <v>8</v>
      </c>
      <c r="F48">
        <f t="shared" ca="1" si="0"/>
        <v>44</v>
      </c>
      <c r="G48" t="str">
        <f t="shared" ca="1" si="1"/>
        <v>3. 3-5yr</v>
      </c>
      <c r="H48">
        <f t="shared" si="2"/>
        <v>0</v>
      </c>
    </row>
    <row r="49" spans="1:8" x14ac:dyDescent="0.3">
      <c r="A49">
        <v>1157</v>
      </c>
      <c r="B49" t="s">
        <v>5</v>
      </c>
      <c r="C49" s="1">
        <v>46177</v>
      </c>
      <c r="D49" t="s">
        <v>6</v>
      </c>
      <c r="E49" s="1">
        <v>46207</v>
      </c>
      <c r="F49">
        <f t="shared" ca="1" si="0"/>
        <v>1</v>
      </c>
      <c r="G49" t="str">
        <f t="shared" ca="1" si="1"/>
        <v>1. &lt;1yr</v>
      </c>
      <c r="H49">
        <f t="shared" si="2"/>
        <v>1</v>
      </c>
    </row>
    <row r="50" spans="1:8" x14ac:dyDescent="0.3">
      <c r="A50">
        <v>1160</v>
      </c>
      <c r="B50" t="s">
        <v>5</v>
      </c>
      <c r="C50" s="1">
        <v>44648</v>
      </c>
      <c r="D50" t="s">
        <v>7</v>
      </c>
      <c r="E50" t="s">
        <v>8</v>
      </c>
      <c r="F50">
        <f t="shared" ca="1" si="0"/>
        <v>52</v>
      </c>
      <c r="G50" t="str">
        <f t="shared" ca="1" si="1"/>
        <v>3. 3-5yr</v>
      </c>
      <c r="H50">
        <f t="shared" si="2"/>
        <v>0</v>
      </c>
    </row>
    <row r="51" spans="1:8" x14ac:dyDescent="0.3">
      <c r="A51">
        <v>1164</v>
      </c>
      <c r="B51" t="s">
        <v>5</v>
      </c>
      <c r="C51" s="1">
        <v>44803</v>
      </c>
      <c r="D51" t="s">
        <v>6</v>
      </c>
      <c r="E51" s="1">
        <v>45672</v>
      </c>
      <c r="F51">
        <f t="shared" ca="1" si="0"/>
        <v>28</v>
      </c>
      <c r="G51" t="str">
        <f t="shared" ca="1" si="1"/>
        <v>2. 1-3yr</v>
      </c>
      <c r="H51">
        <f t="shared" si="2"/>
        <v>1</v>
      </c>
    </row>
    <row r="52" spans="1:8" x14ac:dyDescent="0.3">
      <c r="A52">
        <v>1167</v>
      </c>
      <c r="B52" t="s">
        <v>5</v>
      </c>
      <c r="C52" s="1">
        <v>45303</v>
      </c>
      <c r="D52" t="s">
        <v>6</v>
      </c>
      <c r="E52" s="1">
        <v>45881</v>
      </c>
      <c r="F52">
        <f t="shared" ca="1" si="0"/>
        <v>19</v>
      </c>
      <c r="G52" t="str">
        <f t="shared" ca="1" si="1"/>
        <v>2. 1-3yr</v>
      </c>
      <c r="H52">
        <f t="shared" si="2"/>
        <v>1</v>
      </c>
    </row>
    <row r="53" spans="1:8" x14ac:dyDescent="0.3">
      <c r="A53">
        <v>1168</v>
      </c>
      <c r="B53" t="s">
        <v>5</v>
      </c>
      <c r="C53" s="1">
        <v>45755</v>
      </c>
      <c r="D53" t="s">
        <v>7</v>
      </c>
      <c r="E53" t="s">
        <v>8</v>
      </c>
      <c r="F53">
        <f t="shared" ca="1" si="0"/>
        <v>16</v>
      </c>
      <c r="G53" t="str">
        <f t="shared" ca="1" si="1"/>
        <v>2. 1-3yr</v>
      </c>
      <c r="H53">
        <f t="shared" si="2"/>
        <v>0</v>
      </c>
    </row>
    <row r="54" spans="1:8" x14ac:dyDescent="0.3">
      <c r="A54">
        <v>1170</v>
      </c>
      <c r="B54" t="s">
        <v>5</v>
      </c>
      <c r="C54" s="1">
        <v>45041</v>
      </c>
      <c r="D54" t="s">
        <v>7</v>
      </c>
      <c r="E54" t="s">
        <v>8</v>
      </c>
      <c r="F54">
        <f t="shared" ca="1" si="0"/>
        <v>39</v>
      </c>
      <c r="G54" t="str">
        <f t="shared" ca="1" si="1"/>
        <v>3. 3-5yr</v>
      </c>
      <c r="H54">
        <f t="shared" si="2"/>
        <v>0</v>
      </c>
    </row>
    <row r="55" spans="1:8" x14ac:dyDescent="0.3">
      <c r="A55">
        <v>1176</v>
      </c>
      <c r="B55" t="s">
        <v>5</v>
      </c>
      <c r="C55" s="1">
        <v>46097</v>
      </c>
      <c r="D55" t="s">
        <v>7</v>
      </c>
      <c r="E55" t="s">
        <v>8</v>
      </c>
      <c r="F55">
        <f t="shared" ca="1" si="0"/>
        <v>5</v>
      </c>
      <c r="G55" t="str">
        <f t="shared" ca="1" si="1"/>
        <v>1. &lt;1yr</v>
      </c>
      <c r="H55">
        <f t="shared" si="2"/>
        <v>0</v>
      </c>
    </row>
    <row r="56" spans="1:8" x14ac:dyDescent="0.3">
      <c r="A56">
        <v>1180</v>
      </c>
      <c r="B56" t="s">
        <v>5</v>
      </c>
      <c r="C56" s="1">
        <v>44645</v>
      </c>
      <c r="D56" t="s">
        <v>7</v>
      </c>
      <c r="E56" t="s">
        <v>8</v>
      </c>
      <c r="F56">
        <f t="shared" ca="1" si="0"/>
        <v>52</v>
      </c>
      <c r="G56" t="str">
        <f t="shared" ca="1" si="1"/>
        <v>3. 3-5yr</v>
      </c>
      <c r="H56">
        <f t="shared" si="2"/>
        <v>0</v>
      </c>
    </row>
    <row r="57" spans="1:8" x14ac:dyDescent="0.3">
      <c r="A57">
        <v>1184</v>
      </c>
      <c r="B57" t="s">
        <v>5</v>
      </c>
      <c r="C57" s="1">
        <v>45183</v>
      </c>
      <c r="D57" t="s">
        <v>7</v>
      </c>
      <c r="E57" t="s">
        <v>8</v>
      </c>
      <c r="F57">
        <f t="shared" ca="1" si="0"/>
        <v>35</v>
      </c>
      <c r="G57" t="str">
        <f t="shared" ca="1" si="1"/>
        <v>2. 1-3yr</v>
      </c>
      <c r="H57">
        <f t="shared" si="2"/>
        <v>0</v>
      </c>
    </row>
    <row r="58" spans="1:8" x14ac:dyDescent="0.3">
      <c r="A58">
        <v>1185</v>
      </c>
      <c r="B58" t="s">
        <v>5</v>
      </c>
      <c r="C58" s="1">
        <v>45216</v>
      </c>
      <c r="D58" t="s">
        <v>6</v>
      </c>
      <c r="E58" s="1">
        <v>45703</v>
      </c>
      <c r="F58">
        <f t="shared" ca="1" si="0"/>
        <v>15</v>
      </c>
      <c r="G58" t="str">
        <f t="shared" ca="1" si="1"/>
        <v>2. 1-3yr</v>
      </c>
      <c r="H58">
        <f t="shared" si="2"/>
        <v>1</v>
      </c>
    </row>
    <row r="59" spans="1:8" x14ac:dyDescent="0.3">
      <c r="A59">
        <v>1188</v>
      </c>
      <c r="B59" t="s">
        <v>5</v>
      </c>
      <c r="C59" s="1">
        <v>44939</v>
      </c>
      <c r="D59" t="s">
        <v>7</v>
      </c>
      <c r="E59" t="s">
        <v>8</v>
      </c>
      <c r="F59">
        <f t="shared" ca="1" si="0"/>
        <v>43</v>
      </c>
      <c r="G59" t="str">
        <f t="shared" ca="1" si="1"/>
        <v>3. 3-5yr</v>
      </c>
      <c r="H59">
        <f t="shared" si="2"/>
        <v>0</v>
      </c>
    </row>
    <row r="60" spans="1:8" x14ac:dyDescent="0.3">
      <c r="A60">
        <v>1190</v>
      </c>
      <c r="B60" t="s">
        <v>5</v>
      </c>
      <c r="C60" s="1">
        <v>45562</v>
      </c>
      <c r="D60" t="s">
        <v>6</v>
      </c>
      <c r="E60" s="1">
        <v>45941</v>
      </c>
      <c r="F60">
        <f t="shared" ca="1" si="0"/>
        <v>12</v>
      </c>
      <c r="G60" t="str">
        <f t="shared" ca="1" si="1"/>
        <v>2. 1-3yr</v>
      </c>
      <c r="H60">
        <f t="shared" si="2"/>
        <v>1</v>
      </c>
    </row>
    <row r="61" spans="1:8" x14ac:dyDescent="0.3">
      <c r="A61">
        <v>1195</v>
      </c>
      <c r="B61" t="s">
        <v>5</v>
      </c>
      <c r="C61" s="1">
        <v>45821</v>
      </c>
      <c r="D61" t="s">
        <v>6</v>
      </c>
      <c r="E61" s="1">
        <v>46213</v>
      </c>
      <c r="F61">
        <f t="shared" ca="1" si="0"/>
        <v>12</v>
      </c>
      <c r="G61" t="str">
        <f t="shared" ca="1" si="1"/>
        <v>2. 1-3yr</v>
      </c>
      <c r="H61">
        <f t="shared" si="2"/>
        <v>1</v>
      </c>
    </row>
    <row r="62" spans="1:8" x14ac:dyDescent="0.3">
      <c r="A62">
        <v>1197</v>
      </c>
      <c r="B62" t="s">
        <v>5</v>
      </c>
      <c r="C62" s="1">
        <v>46177</v>
      </c>
      <c r="D62" t="s">
        <v>7</v>
      </c>
      <c r="E62" t="s">
        <v>8</v>
      </c>
      <c r="F62">
        <f t="shared" ca="1" si="0"/>
        <v>2</v>
      </c>
      <c r="G62" t="str">
        <f t="shared" ca="1" si="1"/>
        <v>1. &lt;1yr</v>
      </c>
      <c r="H62">
        <f t="shared" si="2"/>
        <v>0</v>
      </c>
    </row>
    <row r="63" spans="1:8" x14ac:dyDescent="0.3">
      <c r="A63">
        <v>1200</v>
      </c>
      <c r="B63" t="s">
        <v>5</v>
      </c>
      <c r="C63" s="1">
        <v>45823</v>
      </c>
      <c r="D63" t="s">
        <v>7</v>
      </c>
      <c r="E63" t="s">
        <v>8</v>
      </c>
      <c r="F63">
        <f t="shared" ca="1" si="0"/>
        <v>14</v>
      </c>
      <c r="G63" t="str">
        <f t="shared" ca="1" si="1"/>
        <v>2. 1-3yr</v>
      </c>
      <c r="H63">
        <f t="shared" si="2"/>
        <v>0</v>
      </c>
    </row>
    <row r="64" spans="1:8" x14ac:dyDescent="0.3">
      <c r="A64">
        <v>1204</v>
      </c>
      <c r="B64" t="s">
        <v>5</v>
      </c>
      <c r="C64" s="1">
        <v>45748</v>
      </c>
      <c r="D64" t="s">
        <v>7</v>
      </c>
      <c r="E64" t="s">
        <v>8</v>
      </c>
      <c r="F64">
        <f t="shared" ca="1" si="0"/>
        <v>16</v>
      </c>
      <c r="G64" t="str">
        <f t="shared" ca="1" si="1"/>
        <v>2. 1-3yr</v>
      </c>
      <c r="H64">
        <f t="shared" si="2"/>
        <v>0</v>
      </c>
    </row>
    <row r="65" spans="1:8" x14ac:dyDescent="0.3">
      <c r="A65">
        <v>1206</v>
      </c>
      <c r="B65" t="s">
        <v>5</v>
      </c>
      <c r="C65" s="1">
        <v>45013</v>
      </c>
      <c r="D65" t="s">
        <v>6</v>
      </c>
      <c r="E65" s="1">
        <v>45498</v>
      </c>
      <c r="F65">
        <f t="shared" ca="1" si="0"/>
        <v>15</v>
      </c>
      <c r="G65" t="str">
        <f t="shared" ca="1" si="1"/>
        <v>2. 1-3yr</v>
      </c>
      <c r="H65">
        <f t="shared" si="2"/>
        <v>1</v>
      </c>
    </row>
    <row r="66" spans="1:8" x14ac:dyDescent="0.3">
      <c r="A66">
        <v>1218</v>
      </c>
      <c r="B66" t="s">
        <v>5</v>
      </c>
      <c r="C66" s="1">
        <v>45771</v>
      </c>
      <c r="D66" t="s">
        <v>7</v>
      </c>
      <c r="E66" t="s">
        <v>8</v>
      </c>
      <c r="F66">
        <f t="shared" ca="1" si="0"/>
        <v>15</v>
      </c>
      <c r="G66" t="str">
        <f t="shared" ca="1" si="1"/>
        <v>2. 1-3yr</v>
      </c>
      <c r="H66">
        <f t="shared" si="2"/>
        <v>0</v>
      </c>
    </row>
    <row r="67" spans="1:8" x14ac:dyDescent="0.3">
      <c r="A67">
        <v>1220</v>
      </c>
      <c r="B67" t="s">
        <v>5</v>
      </c>
      <c r="C67" s="1">
        <v>45638</v>
      </c>
      <c r="D67" t="s">
        <v>7</v>
      </c>
      <c r="E67" t="s">
        <v>8</v>
      </c>
      <c r="F67">
        <f t="shared" ref="F67:F130" ca="1" si="3">DATEDIF(C67, IF(OR(E67="",E67="NULL"), TODAY(), E67), "m")</f>
        <v>20</v>
      </c>
      <c r="G67" t="str">
        <f t="shared" ref="G67:G130" ca="1" si="4">IF(F67&lt;12,"1. &lt;1yr",IF(F67&lt;36,"2. 1-3yr",IF(F67&lt;60,"3. 3-5yr","4. 5+yr")))</f>
        <v>2. 1-3yr</v>
      </c>
      <c r="H67">
        <f t="shared" ref="H67:H130" si="5">IF(D67="Yes",1,0)</f>
        <v>0</v>
      </c>
    </row>
    <row r="68" spans="1:8" x14ac:dyDescent="0.3">
      <c r="A68">
        <v>1221</v>
      </c>
      <c r="B68" t="s">
        <v>5</v>
      </c>
      <c r="C68" s="1">
        <v>45406</v>
      </c>
      <c r="D68" t="s">
        <v>7</v>
      </c>
      <c r="E68" t="s">
        <v>8</v>
      </c>
      <c r="F68">
        <f t="shared" ca="1" si="3"/>
        <v>27</v>
      </c>
      <c r="G68" t="str">
        <f t="shared" ca="1" si="4"/>
        <v>2. 1-3yr</v>
      </c>
      <c r="H68">
        <f t="shared" si="5"/>
        <v>0</v>
      </c>
    </row>
    <row r="69" spans="1:8" x14ac:dyDescent="0.3">
      <c r="A69">
        <v>1224</v>
      </c>
      <c r="B69" t="s">
        <v>5</v>
      </c>
      <c r="C69" s="1">
        <v>44913</v>
      </c>
      <c r="D69" t="s">
        <v>7</v>
      </c>
      <c r="E69" t="s">
        <v>8</v>
      </c>
      <c r="F69">
        <f t="shared" ca="1" si="3"/>
        <v>44</v>
      </c>
      <c r="G69" t="str">
        <f t="shared" ca="1" si="4"/>
        <v>3. 3-5yr</v>
      </c>
      <c r="H69">
        <f t="shared" si="5"/>
        <v>0</v>
      </c>
    </row>
    <row r="70" spans="1:8" x14ac:dyDescent="0.3">
      <c r="A70">
        <v>1228</v>
      </c>
      <c r="B70" t="s">
        <v>5</v>
      </c>
      <c r="C70" s="1">
        <v>45304</v>
      </c>
      <c r="D70" t="s">
        <v>6</v>
      </c>
      <c r="E70" s="1">
        <v>45789</v>
      </c>
      <c r="F70">
        <f t="shared" ca="1" si="3"/>
        <v>15</v>
      </c>
      <c r="G70" t="str">
        <f t="shared" ca="1" si="4"/>
        <v>2. 1-3yr</v>
      </c>
      <c r="H70">
        <f t="shared" si="5"/>
        <v>1</v>
      </c>
    </row>
    <row r="71" spans="1:8" x14ac:dyDescent="0.3">
      <c r="A71">
        <v>1229</v>
      </c>
      <c r="B71" t="s">
        <v>5</v>
      </c>
      <c r="C71" s="1">
        <v>44670</v>
      </c>
      <c r="D71" t="s">
        <v>7</v>
      </c>
      <c r="E71" t="s">
        <v>8</v>
      </c>
      <c r="F71">
        <f t="shared" ca="1" si="3"/>
        <v>51</v>
      </c>
      <c r="G71" t="str">
        <f t="shared" ca="1" si="4"/>
        <v>3. 3-5yr</v>
      </c>
      <c r="H71">
        <f t="shared" si="5"/>
        <v>0</v>
      </c>
    </row>
    <row r="72" spans="1:8" x14ac:dyDescent="0.3">
      <c r="A72">
        <v>1231</v>
      </c>
      <c r="B72" t="s">
        <v>5</v>
      </c>
      <c r="C72" s="1">
        <v>44446</v>
      </c>
      <c r="D72" t="s">
        <v>6</v>
      </c>
      <c r="E72" s="1">
        <v>45709</v>
      </c>
      <c r="F72">
        <f t="shared" ca="1" si="3"/>
        <v>41</v>
      </c>
      <c r="G72" t="str">
        <f t="shared" ca="1" si="4"/>
        <v>3. 3-5yr</v>
      </c>
      <c r="H72">
        <f t="shared" si="5"/>
        <v>1</v>
      </c>
    </row>
    <row r="73" spans="1:8" x14ac:dyDescent="0.3">
      <c r="A73">
        <v>1233</v>
      </c>
      <c r="B73" t="s">
        <v>5</v>
      </c>
      <c r="C73" s="1">
        <v>45178</v>
      </c>
      <c r="D73" t="s">
        <v>7</v>
      </c>
      <c r="E73" t="s">
        <v>8</v>
      </c>
      <c r="F73">
        <f t="shared" ca="1" si="3"/>
        <v>35</v>
      </c>
      <c r="G73" t="str">
        <f t="shared" ca="1" si="4"/>
        <v>2. 1-3yr</v>
      </c>
      <c r="H73">
        <f t="shared" si="5"/>
        <v>0</v>
      </c>
    </row>
    <row r="74" spans="1:8" x14ac:dyDescent="0.3">
      <c r="A74">
        <v>1236</v>
      </c>
      <c r="B74" t="s">
        <v>5</v>
      </c>
      <c r="C74" s="1">
        <v>45439</v>
      </c>
      <c r="D74" t="s">
        <v>7</v>
      </c>
      <c r="E74" t="s">
        <v>8</v>
      </c>
      <c r="F74">
        <f t="shared" ca="1" si="3"/>
        <v>26</v>
      </c>
      <c r="G74" t="str">
        <f t="shared" ca="1" si="4"/>
        <v>2. 1-3yr</v>
      </c>
      <c r="H74">
        <f t="shared" si="5"/>
        <v>0</v>
      </c>
    </row>
    <row r="75" spans="1:8" x14ac:dyDescent="0.3">
      <c r="A75">
        <v>1239</v>
      </c>
      <c r="B75" t="s">
        <v>5</v>
      </c>
      <c r="C75" s="1">
        <v>45785</v>
      </c>
      <c r="D75" t="s">
        <v>7</v>
      </c>
      <c r="E75" t="s">
        <v>8</v>
      </c>
      <c r="F75">
        <f t="shared" ca="1" si="3"/>
        <v>15</v>
      </c>
      <c r="G75" t="str">
        <f t="shared" ca="1" si="4"/>
        <v>2. 1-3yr</v>
      </c>
      <c r="H75">
        <f t="shared" si="5"/>
        <v>0</v>
      </c>
    </row>
    <row r="76" spans="1:8" x14ac:dyDescent="0.3">
      <c r="A76">
        <v>1242</v>
      </c>
      <c r="B76" t="s">
        <v>5</v>
      </c>
      <c r="C76" s="1">
        <v>45080</v>
      </c>
      <c r="D76" t="s">
        <v>7</v>
      </c>
      <c r="E76" t="s">
        <v>8</v>
      </c>
      <c r="F76">
        <f t="shared" ca="1" si="3"/>
        <v>38</v>
      </c>
      <c r="G76" t="str">
        <f t="shared" ca="1" si="4"/>
        <v>3. 3-5yr</v>
      </c>
      <c r="H76">
        <f t="shared" si="5"/>
        <v>0</v>
      </c>
    </row>
    <row r="77" spans="1:8" x14ac:dyDescent="0.3">
      <c r="A77">
        <v>1245</v>
      </c>
      <c r="B77" t="s">
        <v>5</v>
      </c>
      <c r="C77" s="1">
        <v>45044</v>
      </c>
      <c r="D77" t="s">
        <v>7</v>
      </c>
      <c r="E77" t="s">
        <v>8</v>
      </c>
      <c r="F77">
        <f t="shared" ca="1" si="3"/>
        <v>39</v>
      </c>
      <c r="G77" t="str">
        <f t="shared" ca="1" si="4"/>
        <v>3. 3-5yr</v>
      </c>
      <c r="H77">
        <f t="shared" si="5"/>
        <v>0</v>
      </c>
    </row>
    <row r="78" spans="1:8" x14ac:dyDescent="0.3">
      <c r="A78">
        <v>1246</v>
      </c>
      <c r="B78" t="s">
        <v>5</v>
      </c>
      <c r="C78" s="1">
        <v>44767</v>
      </c>
      <c r="D78" t="s">
        <v>7</v>
      </c>
      <c r="E78" t="s">
        <v>8</v>
      </c>
      <c r="F78">
        <f t="shared" ca="1" si="3"/>
        <v>48</v>
      </c>
      <c r="G78" t="str">
        <f t="shared" ca="1" si="4"/>
        <v>3. 3-5yr</v>
      </c>
      <c r="H78">
        <f t="shared" si="5"/>
        <v>0</v>
      </c>
    </row>
    <row r="79" spans="1:8" x14ac:dyDescent="0.3">
      <c r="A79">
        <v>1248</v>
      </c>
      <c r="B79" t="s">
        <v>5</v>
      </c>
      <c r="C79" s="1">
        <v>45881</v>
      </c>
      <c r="D79" t="s">
        <v>7</v>
      </c>
      <c r="E79" t="s">
        <v>8</v>
      </c>
      <c r="F79">
        <f t="shared" ca="1" si="3"/>
        <v>12</v>
      </c>
      <c r="G79" t="str">
        <f t="shared" ca="1" si="4"/>
        <v>2. 1-3yr</v>
      </c>
      <c r="H79">
        <f t="shared" si="5"/>
        <v>0</v>
      </c>
    </row>
    <row r="80" spans="1:8" x14ac:dyDescent="0.3">
      <c r="A80">
        <v>1251</v>
      </c>
      <c r="B80" t="s">
        <v>5</v>
      </c>
      <c r="C80" s="1">
        <v>44516</v>
      </c>
      <c r="D80" t="s">
        <v>7</v>
      </c>
      <c r="E80" t="s">
        <v>8</v>
      </c>
      <c r="F80">
        <f t="shared" ca="1" si="3"/>
        <v>57</v>
      </c>
      <c r="G80" t="str">
        <f t="shared" ca="1" si="4"/>
        <v>3. 3-5yr</v>
      </c>
      <c r="H80">
        <f t="shared" si="5"/>
        <v>0</v>
      </c>
    </row>
    <row r="81" spans="1:8" x14ac:dyDescent="0.3">
      <c r="A81">
        <v>1252</v>
      </c>
      <c r="B81" t="s">
        <v>5</v>
      </c>
      <c r="C81" s="1">
        <v>45185</v>
      </c>
      <c r="D81" t="s">
        <v>7</v>
      </c>
      <c r="E81" t="s">
        <v>8</v>
      </c>
      <c r="F81">
        <f t="shared" ca="1" si="3"/>
        <v>35</v>
      </c>
      <c r="G81" t="str">
        <f t="shared" ca="1" si="4"/>
        <v>2. 1-3yr</v>
      </c>
      <c r="H81">
        <f t="shared" si="5"/>
        <v>0</v>
      </c>
    </row>
    <row r="82" spans="1:8" x14ac:dyDescent="0.3">
      <c r="A82">
        <v>1254</v>
      </c>
      <c r="B82" t="s">
        <v>5</v>
      </c>
      <c r="C82" s="1">
        <v>45287</v>
      </c>
      <c r="D82" t="s">
        <v>7</v>
      </c>
      <c r="E82" t="s">
        <v>8</v>
      </c>
      <c r="F82">
        <f t="shared" ca="1" si="3"/>
        <v>31</v>
      </c>
      <c r="G82" t="str">
        <f t="shared" ca="1" si="4"/>
        <v>2. 1-3yr</v>
      </c>
      <c r="H82">
        <f t="shared" si="5"/>
        <v>0</v>
      </c>
    </row>
    <row r="83" spans="1:8" x14ac:dyDescent="0.3">
      <c r="A83">
        <v>1260</v>
      </c>
      <c r="B83" t="s">
        <v>5</v>
      </c>
      <c r="C83" s="1">
        <v>45772</v>
      </c>
      <c r="D83" t="s">
        <v>7</v>
      </c>
      <c r="E83" t="s">
        <v>8</v>
      </c>
      <c r="F83">
        <f t="shared" ca="1" si="3"/>
        <v>15</v>
      </c>
      <c r="G83" t="str">
        <f t="shared" ca="1" si="4"/>
        <v>2. 1-3yr</v>
      </c>
      <c r="H83">
        <f t="shared" si="5"/>
        <v>0</v>
      </c>
    </row>
    <row r="84" spans="1:8" x14ac:dyDescent="0.3">
      <c r="A84">
        <v>1261</v>
      </c>
      <c r="B84" t="s">
        <v>5</v>
      </c>
      <c r="C84" s="1">
        <v>44560</v>
      </c>
      <c r="D84" t="s">
        <v>7</v>
      </c>
      <c r="E84" t="s">
        <v>8</v>
      </c>
      <c r="F84">
        <f t="shared" ca="1" si="3"/>
        <v>55</v>
      </c>
      <c r="G84" t="str">
        <f t="shared" ca="1" si="4"/>
        <v>3. 3-5yr</v>
      </c>
      <c r="H84">
        <f t="shared" si="5"/>
        <v>0</v>
      </c>
    </row>
    <row r="85" spans="1:8" x14ac:dyDescent="0.3">
      <c r="A85">
        <v>1265</v>
      </c>
      <c r="B85" t="s">
        <v>5</v>
      </c>
      <c r="C85" s="1">
        <v>44057</v>
      </c>
      <c r="D85" t="s">
        <v>7</v>
      </c>
      <c r="E85" t="s">
        <v>8</v>
      </c>
      <c r="F85">
        <f t="shared" ca="1" si="3"/>
        <v>72</v>
      </c>
      <c r="G85" t="str">
        <f t="shared" ca="1" si="4"/>
        <v>4. 5+yr</v>
      </c>
      <c r="H85">
        <f t="shared" si="5"/>
        <v>0</v>
      </c>
    </row>
    <row r="86" spans="1:8" x14ac:dyDescent="0.3">
      <c r="A86">
        <v>1268</v>
      </c>
      <c r="B86" t="s">
        <v>5</v>
      </c>
      <c r="C86" s="1">
        <v>44580</v>
      </c>
      <c r="D86" t="s">
        <v>7</v>
      </c>
      <c r="E86" t="s">
        <v>8</v>
      </c>
      <c r="F86">
        <f t="shared" ca="1" si="3"/>
        <v>54</v>
      </c>
      <c r="G86" t="str">
        <f t="shared" ca="1" si="4"/>
        <v>3. 3-5yr</v>
      </c>
      <c r="H86">
        <f t="shared" si="5"/>
        <v>0</v>
      </c>
    </row>
    <row r="87" spans="1:8" x14ac:dyDescent="0.3">
      <c r="A87">
        <v>1270</v>
      </c>
      <c r="B87" t="s">
        <v>5</v>
      </c>
      <c r="C87" s="1">
        <v>46061</v>
      </c>
      <c r="D87" t="s">
        <v>7</v>
      </c>
      <c r="E87" t="s">
        <v>8</v>
      </c>
      <c r="F87">
        <f t="shared" ca="1" si="3"/>
        <v>6</v>
      </c>
      <c r="G87" t="str">
        <f t="shared" ca="1" si="4"/>
        <v>1. &lt;1yr</v>
      </c>
      <c r="H87">
        <f t="shared" si="5"/>
        <v>0</v>
      </c>
    </row>
    <row r="88" spans="1:8" x14ac:dyDescent="0.3">
      <c r="A88">
        <v>1275</v>
      </c>
      <c r="B88" t="s">
        <v>5</v>
      </c>
      <c r="C88" s="1">
        <v>44908</v>
      </c>
      <c r="D88" t="s">
        <v>7</v>
      </c>
      <c r="E88" t="s">
        <v>8</v>
      </c>
      <c r="F88">
        <f t="shared" ca="1" si="3"/>
        <v>44</v>
      </c>
      <c r="G88" t="str">
        <f t="shared" ca="1" si="4"/>
        <v>3. 3-5yr</v>
      </c>
      <c r="H88">
        <f t="shared" si="5"/>
        <v>0</v>
      </c>
    </row>
    <row r="89" spans="1:8" x14ac:dyDescent="0.3">
      <c r="A89">
        <v>1277</v>
      </c>
      <c r="B89" t="s">
        <v>5</v>
      </c>
      <c r="C89" s="1">
        <v>45666</v>
      </c>
      <c r="D89" t="s">
        <v>7</v>
      </c>
      <c r="E89" t="s">
        <v>8</v>
      </c>
      <c r="F89">
        <f t="shared" ca="1" si="3"/>
        <v>19</v>
      </c>
      <c r="G89" t="str">
        <f t="shared" ca="1" si="4"/>
        <v>2. 1-3yr</v>
      </c>
      <c r="H89">
        <f t="shared" si="5"/>
        <v>0</v>
      </c>
    </row>
    <row r="90" spans="1:8" x14ac:dyDescent="0.3">
      <c r="A90">
        <v>1279</v>
      </c>
      <c r="B90" t="s">
        <v>5</v>
      </c>
      <c r="C90" s="1">
        <v>45391</v>
      </c>
      <c r="D90" t="s">
        <v>7</v>
      </c>
      <c r="E90" t="s">
        <v>8</v>
      </c>
      <c r="F90">
        <f t="shared" ca="1" si="3"/>
        <v>28</v>
      </c>
      <c r="G90" t="str">
        <f t="shared" ca="1" si="4"/>
        <v>2. 1-3yr</v>
      </c>
      <c r="H90">
        <f t="shared" si="5"/>
        <v>0</v>
      </c>
    </row>
    <row r="91" spans="1:8" x14ac:dyDescent="0.3">
      <c r="A91">
        <v>1280</v>
      </c>
      <c r="B91" t="s">
        <v>5</v>
      </c>
      <c r="C91" s="1">
        <v>44620</v>
      </c>
      <c r="D91" t="s">
        <v>7</v>
      </c>
      <c r="E91" t="s">
        <v>8</v>
      </c>
      <c r="F91">
        <f t="shared" ca="1" si="3"/>
        <v>53</v>
      </c>
      <c r="G91" t="str">
        <f t="shared" ca="1" si="4"/>
        <v>3. 3-5yr</v>
      </c>
      <c r="H91">
        <f t="shared" si="5"/>
        <v>0</v>
      </c>
    </row>
    <row r="92" spans="1:8" x14ac:dyDescent="0.3">
      <c r="A92">
        <v>1282</v>
      </c>
      <c r="B92" t="s">
        <v>5</v>
      </c>
      <c r="C92" s="1">
        <v>45258</v>
      </c>
      <c r="D92" t="s">
        <v>6</v>
      </c>
      <c r="E92" s="1">
        <v>45681</v>
      </c>
      <c r="F92">
        <f t="shared" ca="1" si="3"/>
        <v>13</v>
      </c>
      <c r="G92" t="str">
        <f t="shared" ca="1" si="4"/>
        <v>2. 1-3yr</v>
      </c>
      <c r="H92">
        <f t="shared" si="5"/>
        <v>1</v>
      </c>
    </row>
    <row r="93" spans="1:8" x14ac:dyDescent="0.3">
      <c r="A93">
        <v>1286</v>
      </c>
      <c r="B93" t="s">
        <v>5</v>
      </c>
      <c r="C93" s="1">
        <v>45361</v>
      </c>
      <c r="D93" t="s">
        <v>7</v>
      </c>
      <c r="E93" t="s">
        <v>8</v>
      </c>
      <c r="F93">
        <f t="shared" ca="1" si="3"/>
        <v>29</v>
      </c>
      <c r="G93" t="str">
        <f t="shared" ca="1" si="4"/>
        <v>2. 1-3yr</v>
      </c>
      <c r="H93">
        <f t="shared" si="5"/>
        <v>0</v>
      </c>
    </row>
    <row r="94" spans="1:8" x14ac:dyDescent="0.3">
      <c r="A94">
        <v>1287</v>
      </c>
      <c r="B94" t="s">
        <v>5</v>
      </c>
      <c r="C94" s="1">
        <v>46038</v>
      </c>
      <c r="D94" t="s">
        <v>7</v>
      </c>
      <c r="E94" t="s">
        <v>8</v>
      </c>
      <c r="F94">
        <f t="shared" ca="1" si="3"/>
        <v>7</v>
      </c>
      <c r="G94" t="str">
        <f t="shared" ca="1" si="4"/>
        <v>1. &lt;1yr</v>
      </c>
      <c r="H94">
        <f t="shared" si="5"/>
        <v>0</v>
      </c>
    </row>
    <row r="95" spans="1:8" x14ac:dyDescent="0.3">
      <c r="A95">
        <v>1290</v>
      </c>
      <c r="B95" t="s">
        <v>5</v>
      </c>
      <c r="C95" s="1">
        <v>43700</v>
      </c>
      <c r="D95" t="s">
        <v>7</v>
      </c>
      <c r="E95" t="s">
        <v>8</v>
      </c>
      <c r="F95">
        <f t="shared" ca="1" si="3"/>
        <v>83</v>
      </c>
      <c r="G95" t="str">
        <f t="shared" ca="1" si="4"/>
        <v>4. 5+yr</v>
      </c>
      <c r="H95">
        <f t="shared" si="5"/>
        <v>0</v>
      </c>
    </row>
    <row r="96" spans="1:8" x14ac:dyDescent="0.3">
      <c r="A96">
        <v>1291</v>
      </c>
      <c r="B96" t="s">
        <v>5</v>
      </c>
      <c r="C96" s="1">
        <v>45922</v>
      </c>
      <c r="D96" t="s">
        <v>7</v>
      </c>
      <c r="E96" t="s">
        <v>8</v>
      </c>
      <c r="F96">
        <f t="shared" ca="1" si="3"/>
        <v>10</v>
      </c>
      <c r="G96" t="str">
        <f t="shared" ca="1" si="4"/>
        <v>1. &lt;1yr</v>
      </c>
      <c r="H96">
        <f t="shared" si="5"/>
        <v>0</v>
      </c>
    </row>
    <row r="97" spans="1:8" x14ac:dyDescent="0.3">
      <c r="A97">
        <v>1292</v>
      </c>
      <c r="B97" t="s">
        <v>5</v>
      </c>
      <c r="C97" s="1">
        <v>44040</v>
      </c>
      <c r="D97" t="s">
        <v>7</v>
      </c>
      <c r="E97" t="s">
        <v>8</v>
      </c>
      <c r="F97">
        <f t="shared" ca="1" si="3"/>
        <v>72</v>
      </c>
      <c r="G97" t="str">
        <f t="shared" ca="1" si="4"/>
        <v>4. 5+yr</v>
      </c>
      <c r="H97">
        <f t="shared" si="5"/>
        <v>0</v>
      </c>
    </row>
    <row r="98" spans="1:8" x14ac:dyDescent="0.3">
      <c r="A98">
        <v>1301</v>
      </c>
      <c r="B98" t="s">
        <v>5</v>
      </c>
      <c r="C98" s="1">
        <v>45764</v>
      </c>
      <c r="D98" t="s">
        <v>7</v>
      </c>
      <c r="E98" t="s">
        <v>8</v>
      </c>
      <c r="F98">
        <f t="shared" ca="1" si="3"/>
        <v>16</v>
      </c>
      <c r="G98" t="str">
        <f t="shared" ca="1" si="4"/>
        <v>2. 1-3yr</v>
      </c>
      <c r="H98">
        <f t="shared" si="5"/>
        <v>0</v>
      </c>
    </row>
    <row r="99" spans="1:8" x14ac:dyDescent="0.3">
      <c r="A99">
        <v>1302</v>
      </c>
      <c r="B99" t="s">
        <v>5</v>
      </c>
      <c r="C99" s="1">
        <v>43831</v>
      </c>
      <c r="D99" t="s">
        <v>7</v>
      </c>
      <c r="E99" t="s">
        <v>8</v>
      </c>
      <c r="F99">
        <f t="shared" ca="1" si="3"/>
        <v>79</v>
      </c>
      <c r="G99" t="str">
        <f t="shared" ca="1" si="4"/>
        <v>4. 5+yr</v>
      </c>
      <c r="H99">
        <f t="shared" si="5"/>
        <v>0</v>
      </c>
    </row>
    <row r="100" spans="1:8" x14ac:dyDescent="0.3">
      <c r="A100">
        <v>1305</v>
      </c>
      <c r="B100" t="s">
        <v>5</v>
      </c>
      <c r="C100" s="1">
        <v>45712</v>
      </c>
      <c r="D100" t="s">
        <v>7</v>
      </c>
      <c r="E100" t="s">
        <v>8</v>
      </c>
      <c r="F100">
        <f t="shared" ca="1" si="3"/>
        <v>17</v>
      </c>
      <c r="G100" t="str">
        <f t="shared" ca="1" si="4"/>
        <v>2. 1-3yr</v>
      </c>
      <c r="H100">
        <f t="shared" si="5"/>
        <v>0</v>
      </c>
    </row>
    <row r="101" spans="1:8" x14ac:dyDescent="0.3">
      <c r="A101">
        <v>1308</v>
      </c>
      <c r="B101" t="s">
        <v>5</v>
      </c>
      <c r="C101" s="1">
        <v>45228</v>
      </c>
      <c r="D101" t="s">
        <v>7</v>
      </c>
      <c r="E101" t="s">
        <v>8</v>
      </c>
      <c r="F101">
        <f t="shared" ca="1" si="3"/>
        <v>33</v>
      </c>
      <c r="G101" t="str">
        <f t="shared" ca="1" si="4"/>
        <v>2. 1-3yr</v>
      </c>
      <c r="H101">
        <f t="shared" si="5"/>
        <v>0</v>
      </c>
    </row>
    <row r="102" spans="1:8" x14ac:dyDescent="0.3">
      <c r="A102">
        <v>1312</v>
      </c>
      <c r="B102" t="s">
        <v>5</v>
      </c>
      <c r="C102" s="1">
        <v>44700</v>
      </c>
      <c r="D102" t="s">
        <v>7</v>
      </c>
      <c r="E102" t="s">
        <v>8</v>
      </c>
      <c r="F102">
        <f t="shared" ca="1" si="3"/>
        <v>50</v>
      </c>
      <c r="G102" t="str">
        <f t="shared" ca="1" si="4"/>
        <v>3. 3-5yr</v>
      </c>
      <c r="H102">
        <f t="shared" si="5"/>
        <v>0</v>
      </c>
    </row>
    <row r="103" spans="1:8" x14ac:dyDescent="0.3">
      <c r="A103">
        <v>1313</v>
      </c>
      <c r="B103" t="s">
        <v>5</v>
      </c>
      <c r="C103" s="1">
        <v>45123</v>
      </c>
      <c r="D103" t="s">
        <v>7</v>
      </c>
      <c r="E103" t="s">
        <v>8</v>
      </c>
      <c r="F103">
        <f t="shared" ca="1" si="3"/>
        <v>37</v>
      </c>
      <c r="G103" t="str">
        <f t="shared" ca="1" si="4"/>
        <v>3. 3-5yr</v>
      </c>
      <c r="H103">
        <f t="shared" si="5"/>
        <v>0</v>
      </c>
    </row>
    <row r="104" spans="1:8" x14ac:dyDescent="0.3">
      <c r="A104">
        <v>1315</v>
      </c>
      <c r="B104" t="s">
        <v>5</v>
      </c>
      <c r="C104" s="1">
        <v>44449</v>
      </c>
      <c r="D104" t="s">
        <v>7</v>
      </c>
      <c r="E104" t="s">
        <v>8</v>
      </c>
      <c r="F104">
        <f t="shared" ca="1" si="3"/>
        <v>59</v>
      </c>
      <c r="G104" t="str">
        <f t="shared" ca="1" si="4"/>
        <v>3. 3-5yr</v>
      </c>
      <c r="H104">
        <f t="shared" si="5"/>
        <v>0</v>
      </c>
    </row>
    <row r="105" spans="1:8" x14ac:dyDescent="0.3">
      <c r="A105">
        <v>1322</v>
      </c>
      <c r="B105" t="s">
        <v>5</v>
      </c>
      <c r="C105" s="1">
        <v>45836</v>
      </c>
      <c r="D105" t="s">
        <v>7</v>
      </c>
      <c r="E105" t="s">
        <v>8</v>
      </c>
      <c r="F105">
        <f t="shared" ca="1" si="3"/>
        <v>13</v>
      </c>
      <c r="G105" t="str">
        <f t="shared" ca="1" si="4"/>
        <v>2. 1-3yr</v>
      </c>
      <c r="H105">
        <f t="shared" si="5"/>
        <v>0</v>
      </c>
    </row>
    <row r="106" spans="1:8" x14ac:dyDescent="0.3">
      <c r="A106">
        <v>1324</v>
      </c>
      <c r="B106" t="s">
        <v>5</v>
      </c>
      <c r="C106" s="1">
        <v>45444</v>
      </c>
      <c r="D106" t="s">
        <v>7</v>
      </c>
      <c r="E106" t="s">
        <v>8</v>
      </c>
      <c r="F106">
        <f t="shared" ca="1" si="3"/>
        <v>26</v>
      </c>
      <c r="G106" t="str">
        <f t="shared" ca="1" si="4"/>
        <v>2. 1-3yr</v>
      </c>
      <c r="H106">
        <f t="shared" si="5"/>
        <v>0</v>
      </c>
    </row>
    <row r="107" spans="1:8" x14ac:dyDescent="0.3">
      <c r="A107">
        <v>1338</v>
      </c>
      <c r="B107" t="s">
        <v>5</v>
      </c>
      <c r="C107" s="1">
        <v>45831</v>
      </c>
      <c r="D107" t="s">
        <v>6</v>
      </c>
      <c r="E107" s="1">
        <v>46152</v>
      </c>
      <c r="F107">
        <f t="shared" ca="1" si="3"/>
        <v>10</v>
      </c>
      <c r="G107" t="str">
        <f t="shared" ca="1" si="4"/>
        <v>1. &lt;1yr</v>
      </c>
      <c r="H107">
        <f t="shared" si="5"/>
        <v>1</v>
      </c>
    </row>
    <row r="108" spans="1:8" x14ac:dyDescent="0.3">
      <c r="A108">
        <v>1340</v>
      </c>
      <c r="B108" t="s">
        <v>5</v>
      </c>
      <c r="C108" s="1">
        <v>45344</v>
      </c>
      <c r="D108" t="s">
        <v>7</v>
      </c>
      <c r="E108" t="s">
        <v>8</v>
      </c>
      <c r="F108">
        <f t="shared" ca="1" si="3"/>
        <v>29</v>
      </c>
      <c r="G108" t="str">
        <f t="shared" ca="1" si="4"/>
        <v>2. 1-3yr</v>
      </c>
      <c r="H108">
        <f t="shared" si="5"/>
        <v>0</v>
      </c>
    </row>
    <row r="109" spans="1:8" x14ac:dyDescent="0.3">
      <c r="A109">
        <v>1343</v>
      </c>
      <c r="B109" t="s">
        <v>5</v>
      </c>
      <c r="C109" s="1">
        <v>45630</v>
      </c>
      <c r="D109" t="s">
        <v>7</v>
      </c>
      <c r="E109" t="s">
        <v>8</v>
      </c>
      <c r="F109">
        <f t="shared" ca="1" si="3"/>
        <v>20</v>
      </c>
      <c r="G109" t="str">
        <f t="shared" ca="1" si="4"/>
        <v>2. 1-3yr</v>
      </c>
      <c r="H109">
        <f t="shared" si="5"/>
        <v>0</v>
      </c>
    </row>
    <row r="110" spans="1:8" x14ac:dyDescent="0.3">
      <c r="A110">
        <v>1352</v>
      </c>
      <c r="B110" t="s">
        <v>5</v>
      </c>
      <c r="C110" s="1">
        <v>45181</v>
      </c>
      <c r="D110" t="s">
        <v>7</v>
      </c>
      <c r="E110" t="s">
        <v>8</v>
      </c>
      <c r="F110">
        <f t="shared" ca="1" si="3"/>
        <v>35</v>
      </c>
      <c r="G110" t="str">
        <f t="shared" ca="1" si="4"/>
        <v>2. 1-3yr</v>
      </c>
      <c r="H110">
        <f t="shared" si="5"/>
        <v>0</v>
      </c>
    </row>
    <row r="111" spans="1:8" x14ac:dyDescent="0.3">
      <c r="A111">
        <v>1363</v>
      </c>
      <c r="B111" t="s">
        <v>5</v>
      </c>
      <c r="C111" s="1">
        <v>44788</v>
      </c>
      <c r="D111" t="s">
        <v>7</v>
      </c>
      <c r="E111" t="s">
        <v>8</v>
      </c>
      <c r="F111">
        <f t="shared" ca="1" si="3"/>
        <v>48</v>
      </c>
      <c r="G111" t="str">
        <f t="shared" ca="1" si="4"/>
        <v>3. 3-5yr</v>
      </c>
      <c r="H111">
        <f t="shared" si="5"/>
        <v>0</v>
      </c>
    </row>
    <row r="112" spans="1:8" x14ac:dyDescent="0.3">
      <c r="A112">
        <v>1365</v>
      </c>
      <c r="B112" t="s">
        <v>5</v>
      </c>
      <c r="C112" s="1">
        <v>44332</v>
      </c>
      <c r="D112" t="s">
        <v>7</v>
      </c>
      <c r="E112" t="s">
        <v>8</v>
      </c>
      <c r="F112">
        <f t="shared" ca="1" si="3"/>
        <v>63</v>
      </c>
      <c r="G112" t="str">
        <f t="shared" ca="1" si="4"/>
        <v>4. 5+yr</v>
      </c>
      <c r="H112">
        <f t="shared" si="5"/>
        <v>0</v>
      </c>
    </row>
    <row r="113" spans="1:8" x14ac:dyDescent="0.3">
      <c r="A113">
        <v>1369</v>
      </c>
      <c r="B113" t="s">
        <v>5</v>
      </c>
      <c r="C113" s="1">
        <v>46108</v>
      </c>
      <c r="D113" t="s">
        <v>7</v>
      </c>
      <c r="E113" t="s">
        <v>8</v>
      </c>
      <c r="F113">
        <f t="shared" ca="1" si="3"/>
        <v>4</v>
      </c>
      <c r="G113" t="str">
        <f t="shared" ca="1" si="4"/>
        <v>1. &lt;1yr</v>
      </c>
      <c r="H113">
        <f t="shared" si="5"/>
        <v>0</v>
      </c>
    </row>
    <row r="114" spans="1:8" x14ac:dyDescent="0.3">
      <c r="A114">
        <v>1372</v>
      </c>
      <c r="B114" t="s">
        <v>5</v>
      </c>
      <c r="C114" s="1">
        <v>46168</v>
      </c>
      <c r="D114" t="s">
        <v>7</v>
      </c>
      <c r="E114" t="s">
        <v>8</v>
      </c>
      <c r="F114">
        <f t="shared" ca="1" si="3"/>
        <v>2</v>
      </c>
      <c r="G114" t="str">
        <f t="shared" ca="1" si="4"/>
        <v>1. &lt;1yr</v>
      </c>
      <c r="H114">
        <f t="shared" si="5"/>
        <v>0</v>
      </c>
    </row>
    <row r="115" spans="1:8" x14ac:dyDescent="0.3">
      <c r="A115">
        <v>1373</v>
      </c>
      <c r="B115" t="s">
        <v>5</v>
      </c>
      <c r="C115" s="1">
        <v>45979</v>
      </c>
      <c r="D115" t="s">
        <v>7</v>
      </c>
      <c r="E115" t="s">
        <v>8</v>
      </c>
      <c r="F115">
        <f t="shared" ca="1" si="3"/>
        <v>9</v>
      </c>
      <c r="G115" t="str">
        <f t="shared" ca="1" si="4"/>
        <v>1. &lt;1yr</v>
      </c>
      <c r="H115">
        <f t="shared" si="5"/>
        <v>0</v>
      </c>
    </row>
    <row r="116" spans="1:8" x14ac:dyDescent="0.3">
      <c r="A116">
        <v>1376</v>
      </c>
      <c r="B116" t="s">
        <v>5</v>
      </c>
      <c r="C116" s="1">
        <v>44790</v>
      </c>
      <c r="D116" t="s">
        <v>7</v>
      </c>
      <c r="E116" t="s">
        <v>8</v>
      </c>
      <c r="F116">
        <f t="shared" ca="1" si="3"/>
        <v>48</v>
      </c>
      <c r="G116" t="str">
        <f t="shared" ca="1" si="4"/>
        <v>3. 3-5yr</v>
      </c>
      <c r="H116">
        <f t="shared" si="5"/>
        <v>0</v>
      </c>
    </row>
    <row r="117" spans="1:8" x14ac:dyDescent="0.3">
      <c r="A117">
        <v>1378</v>
      </c>
      <c r="B117" t="s">
        <v>5</v>
      </c>
      <c r="C117" s="1">
        <v>43753</v>
      </c>
      <c r="D117" t="s">
        <v>7</v>
      </c>
      <c r="E117" t="s">
        <v>8</v>
      </c>
      <c r="F117">
        <f t="shared" ca="1" si="3"/>
        <v>82</v>
      </c>
      <c r="G117" t="str">
        <f t="shared" ca="1" si="4"/>
        <v>4. 5+yr</v>
      </c>
      <c r="H117">
        <f t="shared" si="5"/>
        <v>0</v>
      </c>
    </row>
    <row r="118" spans="1:8" x14ac:dyDescent="0.3">
      <c r="A118">
        <v>1382</v>
      </c>
      <c r="B118" t="s">
        <v>5</v>
      </c>
      <c r="C118" s="1">
        <v>45075</v>
      </c>
      <c r="D118" t="s">
        <v>7</v>
      </c>
      <c r="E118" t="s">
        <v>8</v>
      </c>
      <c r="F118">
        <f t="shared" ca="1" si="3"/>
        <v>38</v>
      </c>
      <c r="G118" t="str">
        <f t="shared" ca="1" si="4"/>
        <v>3. 3-5yr</v>
      </c>
      <c r="H118">
        <f t="shared" si="5"/>
        <v>0</v>
      </c>
    </row>
    <row r="119" spans="1:8" x14ac:dyDescent="0.3">
      <c r="A119">
        <v>1394</v>
      </c>
      <c r="B119" t="s">
        <v>5</v>
      </c>
      <c r="C119" s="1">
        <v>45714</v>
      </c>
      <c r="D119" t="s">
        <v>7</v>
      </c>
      <c r="E119" t="s">
        <v>8</v>
      </c>
      <c r="F119">
        <f t="shared" ca="1" si="3"/>
        <v>17</v>
      </c>
      <c r="G119" t="str">
        <f t="shared" ca="1" si="4"/>
        <v>2. 1-3yr</v>
      </c>
      <c r="H119">
        <f t="shared" si="5"/>
        <v>0</v>
      </c>
    </row>
    <row r="120" spans="1:8" x14ac:dyDescent="0.3">
      <c r="A120">
        <v>1395</v>
      </c>
      <c r="B120" t="s">
        <v>5</v>
      </c>
      <c r="C120" s="1">
        <v>46156</v>
      </c>
      <c r="D120" t="s">
        <v>7</v>
      </c>
      <c r="E120" t="s">
        <v>8</v>
      </c>
      <c r="F120">
        <f t="shared" ca="1" si="3"/>
        <v>3</v>
      </c>
      <c r="G120" t="str">
        <f t="shared" ca="1" si="4"/>
        <v>1. &lt;1yr</v>
      </c>
      <c r="H120">
        <f t="shared" si="5"/>
        <v>0</v>
      </c>
    </row>
    <row r="121" spans="1:8" x14ac:dyDescent="0.3">
      <c r="A121">
        <v>1400</v>
      </c>
      <c r="B121" t="s">
        <v>5</v>
      </c>
      <c r="C121" s="1">
        <v>46153</v>
      </c>
      <c r="D121" t="s">
        <v>7</v>
      </c>
      <c r="E121" t="s">
        <v>8</v>
      </c>
      <c r="F121">
        <f t="shared" ca="1" si="3"/>
        <v>3</v>
      </c>
      <c r="G121" t="str">
        <f t="shared" ca="1" si="4"/>
        <v>1. &lt;1yr</v>
      </c>
      <c r="H121">
        <f t="shared" si="5"/>
        <v>0</v>
      </c>
    </row>
    <row r="122" spans="1:8" x14ac:dyDescent="0.3">
      <c r="A122">
        <v>1402</v>
      </c>
      <c r="B122" t="s">
        <v>5</v>
      </c>
      <c r="C122" s="1">
        <v>45435</v>
      </c>
      <c r="D122" t="s">
        <v>7</v>
      </c>
      <c r="E122" t="s">
        <v>8</v>
      </c>
      <c r="F122">
        <f t="shared" ca="1" si="3"/>
        <v>26</v>
      </c>
      <c r="G122" t="str">
        <f t="shared" ca="1" si="4"/>
        <v>2. 1-3yr</v>
      </c>
      <c r="H122">
        <f t="shared" si="5"/>
        <v>0</v>
      </c>
    </row>
    <row r="123" spans="1:8" x14ac:dyDescent="0.3">
      <c r="A123">
        <v>1403</v>
      </c>
      <c r="B123" t="s">
        <v>5</v>
      </c>
      <c r="C123" s="1">
        <v>45566</v>
      </c>
      <c r="D123" t="s">
        <v>6</v>
      </c>
      <c r="E123" s="1">
        <v>45789</v>
      </c>
      <c r="F123">
        <f t="shared" ca="1" si="3"/>
        <v>7</v>
      </c>
      <c r="G123" t="str">
        <f t="shared" ca="1" si="4"/>
        <v>1. &lt;1yr</v>
      </c>
      <c r="H123">
        <f t="shared" si="5"/>
        <v>1</v>
      </c>
    </row>
    <row r="124" spans="1:8" x14ac:dyDescent="0.3">
      <c r="A124">
        <v>1405</v>
      </c>
      <c r="B124" t="s">
        <v>5</v>
      </c>
      <c r="C124" s="1">
        <v>45239</v>
      </c>
      <c r="D124" t="s">
        <v>7</v>
      </c>
      <c r="E124" t="s">
        <v>8</v>
      </c>
      <c r="F124">
        <f t="shared" ca="1" si="3"/>
        <v>33</v>
      </c>
      <c r="G124" t="str">
        <f t="shared" ca="1" si="4"/>
        <v>2. 1-3yr</v>
      </c>
      <c r="H124">
        <f t="shared" si="5"/>
        <v>0</v>
      </c>
    </row>
    <row r="125" spans="1:8" x14ac:dyDescent="0.3">
      <c r="A125">
        <v>1406</v>
      </c>
      <c r="B125" t="s">
        <v>5</v>
      </c>
      <c r="C125" s="1">
        <v>45664</v>
      </c>
      <c r="D125" t="s">
        <v>7</v>
      </c>
      <c r="E125" t="s">
        <v>8</v>
      </c>
      <c r="F125">
        <f t="shared" ca="1" si="3"/>
        <v>19</v>
      </c>
      <c r="G125" t="str">
        <f t="shared" ca="1" si="4"/>
        <v>2. 1-3yr</v>
      </c>
      <c r="H125">
        <f t="shared" si="5"/>
        <v>0</v>
      </c>
    </row>
    <row r="126" spans="1:8" x14ac:dyDescent="0.3">
      <c r="A126">
        <v>1414</v>
      </c>
      <c r="B126" t="s">
        <v>5</v>
      </c>
      <c r="C126" s="1">
        <v>45191</v>
      </c>
      <c r="D126" t="s">
        <v>7</v>
      </c>
      <c r="E126" t="s">
        <v>8</v>
      </c>
      <c r="F126">
        <f t="shared" ca="1" si="3"/>
        <v>34</v>
      </c>
      <c r="G126" t="str">
        <f t="shared" ca="1" si="4"/>
        <v>2. 1-3yr</v>
      </c>
      <c r="H126">
        <f t="shared" si="5"/>
        <v>0</v>
      </c>
    </row>
    <row r="127" spans="1:8" x14ac:dyDescent="0.3">
      <c r="A127">
        <v>1418</v>
      </c>
      <c r="B127" t="s">
        <v>5</v>
      </c>
      <c r="C127" s="1">
        <v>45186</v>
      </c>
      <c r="D127" t="s">
        <v>7</v>
      </c>
      <c r="E127" t="s">
        <v>8</v>
      </c>
      <c r="F127">
        <f t="shared" ca="1" si="3"/>
        <v>35</v>
      </c>
      <c r="G127" t="str">
        <f t="shared" ca="1" si="4"/>
        <v>2. 1-3yr</v>
      </c>
      <c r="H127">
        <f t="shared" si="5"/>
        <v>0</v>
      </c>
    </row>
    <row r="128" spans="1:8" x14ac:dyDescent="0.3">
      <c r="A128">
        <v>1424</v>
      </c>
      <c r="B128" t="s">
        <v>5</v>
      </c>
      <c r="C128" s="1">
        <v>43728</v>
      </c>
      <c r="D128" t="s">
        <v>6</v>
      </c>
      <c r="E128" s="1">
        <v>44991</v>
      </c>
      <c r="F128">
        <f t="shared" ca="1" si="3"/>
        <v>41</v>
      </c>
      <c r="G128" t="str">
        <f t="shared" ca="1" si="4"/>
        <v>3. 3-5yr</v>
      </c>
      <c r="H128">
        <f t="shared" si="5"/>
        <v>1</v>
      </c>
    </row>
    <row r="129" spans="1:8" x14ac:dyDescent="0.3">
      <c r="A129">
        <v>1427</v>
      </c>
      <c r="B129" t="s">
        <v>5</v>
      </c>
      <c r="C129" s="1">
        <v>46222</v>
      </c>
      <c r="D129" t="s">
        <v>6</v>
      </c>
      <c r="E129" s="1">
        <v>46252</v>
      </c>
      <c r="F129">
        <f t="shared" ca="1" si="3"/>
        <v>0</v>
      </c>
      <c r="G129" t="str">
        <f t="shared" ca="1" si="4"/>
        <v>1. &lt;1yr</v>
      </c>
      <c r="H129">
        <f t="shared" si="5"/>
        <v>1</v>
      </c>
    </row>
    <row r="130" spans="1:8" x14ac:dyDescent="0.3">
      <c r="A130">
        <v>1428</v>
      </c>
      <c r="B130" t="s">
        <v>5</v>
      </c>
      <c r="C130" s="1">
        <v>46139</v>
      </c>
      <c r="D130" t="s">
        <v>7</v>
      </c>
      <c r="E130" t="s">
        <v>8</v>
      </c>
      <c r="F130">
        <f t="shared" ca="1" si="3"/>
        <v>3</v>
      </c>
      <c r="G130" t="str">
        <f t="shared" ca="1" si="4"/>
        <v>1. &lt;1yr</v>
      </c>
      <c r="H130">
        <f t="shared" si="5"/>
        <v>0</v>
      </c>
    </row>
    <row r="131" spans="1:8" x14ac:dyDescent="0.3">
      <c r="A131">
        <v>1429</v>
      </c>
      <c r="B131" t="s">
        <v>5</v>
      </c>
      <c r="C131" s="1">
        <v>45550</v>
      </c>
      <c r="D131" t="s">
        <v>7</v>
      </c>
      <c r="E131" t="s">
        <v>8</v>
      </c>
      <c r="F131">
        <f t="shared" ref="F131:F194" ca="1" si="6">DATEDIF(C131, IF(OR(E131="",E131="NULL"), TODAY(), E131), "m")</f>
        <v>23</v>
      </c>
      <c r="G131" t="str">
        <f t="shared" ref="G131:G194" ca="1" si="7">IF(F131&lt;12,"1. &lt;1yr",IF(F131&lt;36,"2. 1-3yr",IF(F131&lt;60,"3. 3-5yr","4. 5+yr")))</f>
        <v>2. 1-3yr</v>
      </c>
      <c r="H131">
        <f t="shared" ref="H131:H194" si="8">IF(D131="Yes",1,0)</f>
        <v>0</v>
      </c>
    </row>
    <row r="132" spans="1:8" x14ac:dyDescent="0.3">
      <c r="A132">
        <v>1431</v>
      </c>
      <c r="B132" t="s">
        <v>5</v>
      </c>
      <c r="C132" s="1">
        <v>45527</v>
      </c>
      <c r="D132" t="s">
        <v>7</v>
      </c>
      <c r="E132" t="s">
        <v>8</v>
      </c>
      <c r="F132">
        <f t="shared" ca="1" si="6"/>
        <v>23</v>
      </c>
      <c r="G132" t="str">
        <f t="shared" ca="1" si="7"/>
        <v>2. 1-3yr</v>
      </c>
      <c r="H132">
        <f t="shared" si="8"/>
        <v>0</v>
      </c>
    </row>
    <row r="133" spans="1:8" x14ac:dyDescent="0.3">
      <c r="A133">
        <v>1434</v>
      </c>
      <c r="B133" t="s">
        <v>5</v>
      </c>
      <c r="C133" s="1">
        <v>46129</v>
      </c>
      <c r="D133" t="s">
        <v>7</v>
      </c>
      <c r="E133" t="s">
        <v>8</v>
      </c>
      <c r="F133">
        <f t="shared" ca="1" si="6"/>
        <v>4</v>
      </c>
      <c r="G133" t="str">
        <f t="shared" ca="1" si="7"/>
        <v>1. &lt;1yr</v>
      </c>
      <c r="H133">
        <f t="shared" si="8"/>
        <v>0</v>
      </c>
    </row>
    <row r="134" spans="1:8" x14ac:dyDescent="0.3">
      <c r="A134">
        <v>1443</v>
      </c>
      <c r="B134" t="s">
        <v>5</v>
      </c>
      <c r="C134" s="1">
        <v>45287</v>
      </c>
      <c r="D134" t="s">
        <v>7</v>
      </c>
      <c r="E134" t="s">
        <v>8</v>
      </c>
      <c r="F134">
        <f t="shared" ca="1" si="6"/>
        <v>31</v>
      </c>
      <c r="G134" t="str">
        <f t="shared" ca="1" si="7"/>
        <v>2. 1-3yr</v>
      </c>
      <c r="H134">
        <f t="shared" si="8"/>
        <v>0</v>
      </c>
    </row>
    <row r="135" spans="1:8" x14ac:dyDescent="0.3">
      <c r="A135">
        <v>1444</v>
      </c>
      <c r="B135" t="s">
        <v>5</v>
      </c>
      <c r="C135" s="1">
        <v>45332</v>
      </c>
      <c r="D135" t="s">
        <v>7</v>
      </c>
      <c r="E135" t="s">
        <v>8</v>
      </c>
      <c r="F135">
        <f t="shared" ca="1" si="6"/>
        <v>30</v>
      </c>
      <c r="G135" t="str">
        <f t="shared" ca="1" si="7"/>
        <v>2. 1-3yr</v>
      </c>
      <c r="H135">
        <f t="shared" si="8"/>
        <v>0</v>
      </c>
    </row>
    <row r="136" spans="1:8" x14ac:dyDescent="0.3">
      <c r="A136">
        <v>1447</v>
      </c>
      <c r="B136" t="s">
        <v>5</v>
      </c>
      <c r="C136" s="1">
        <v>45219</v>
      </c>
      <c r="D136" t="s">
        <v>6</v>
      </c>
      <c r="E136" s="1">
        <v>45607</v>
      </c>
      <c r="F136">
        <f t="shared" ca="1" si="6"/>
        <v>12</v>
      </c>
      <c r="G136" t="str">
        <f t="shared" ca="1" si="7"/>
        <v>2. 1-3yr</v>
      </c>
      <c r="H136">
        <f t="shared" si="8"/>
        <v>1</v>
      </c>
    </row>
    <row r="137" spans="1:8" x14ac:dyDescent="0.3">
      <c r="A137">
        <v>1448</v>
      </c>
      <c r="B137" t="s">
        <v>5</v>
      </c>
      <c r="C137" s="1">
        <v>45498</v>
      </c>
      <c r="D137" t="s">
        <v>7</v>
      </c>
      <c r="E137" t="s">
        <v>8</v>
      </c>
      <c r="F137">
        <f t="shared" ca="1" si="6"/>
        <v>24</v>
      </c>
      <c r="G137" t="str">
        <f t="shared" ca="1" si="7"/>
        <v>2. 1-3yr</v>
      </c>
      <c r="H137">
        <f t="shared" si="8"/>
        <v>0</v>
      </c>
    </row>
    <row r="138" spans="1:8" x14ac:dyDescent="0.3">
      <c r="A138">
        <v>1451</v>
      </c>
      <c r="B138" t="s">
        <v>5</v>
      </c>
      <c r="C138" s="1">
        <v>44717</v>
      </c>
      <c r="D138" t="s">
        <v>7</v>
      </c>
      <c r="E138" t="s">
        <v>8</v>
      </c>
      <c r="F138">
        <f t="shared" ca="1" si="6"/>
        <v>50</v>
      </c>
      <c r="G138" t="str">
        <f t="shared" ca="1" si="7"/>
        <v>3. 3-5yr</v>
      </c>
      <c r="H138">
        <f t="shared" si="8"/>
        <v>0</v>
      </c>
    </row>
    <row r="139" spans="1:8" x14ac:dyDescent="0.3">
      <c r="A139">
        <v>1452</v>
      </c>
      <c r="B139" t="s">
        <v>5</v>
      </c>
      <c r="C139" s="1">
        <v>45844</v>
      </c>
      <c r="D139" t="s">
        <v>7</v>
      </c>
      <c r="E139" t="s">
        <v>8</v>
      </c>
      <c r="F139">
        <f t="shared" ca="1" si="6"/>
        <v>13</v>
      </c>
      <c r="G139" t="str">
        <f t="shared" ca="1" si="7"/>
        <v>2. 1-3yr</v>
      </c>
      <c r="H139">
        <f t="shared" si="8"/>
        <v>0</v>
      </c>
    </row>
    <row r="140" spans="1:8" x14ac:dyDescent="0.3">
      <c r="A140">
        <v>1461</v>
      </c>
      <c r="B140" t="s">
        <v>5</v>
      </c>
      <c r="C140" s="1">
        <v>46033</v>
      </c>
      <c r="D140" t="s">
        <v>6</v>
      </c>
      <c r="E140" s="1">
        <v>46063</v>
      </c>
      <c r="F140">
        <f t="shared" ca="1" si="6"/>
        <v>0</v>
      </c>
      <c r="G140" t="str">
        <f t="shared" ca="1" si="7"/>
        <v>1. &lt;1yr</v>
      </c>
      <c r="H140">
        <f t="shared" si="8"/>
        <v>1</v>
      </c>
    </row>
    <row r="141" spans="1:8" x14ac:dyDescent="0.3">
      <c r="A141">
        <v>1462</v>
      </c>
      <c r="B141" t="s">
        <v>5</v>
      </c>
      <c r="C141" s="1">
        <v>45625</v>
      </c>
      <c r="D141" t="s">
        <v>7</v>
      </c>
      <c r="E141" t="s">
        <v>8</v>
      </c>
      <c r="F141">
        <f t="shared" ca="1" si="6"/>
        <v>20</v>
      </c>
      <c r="G141" t="str">
        <f t="shared" ca="1" si="7"/>
        <v>2. 1-3yr</v>
      </c>
      <c r="H141">
        <f t="shared" si="8"/>
        <v>0</v>
      </c>
    </row>
    <row r="142" spans="1:8" x14ac:dyDescent="0.3">
      <c r="A142">
        <v>1464</v>
      </c>
      <c r="B142" t="s">
        <v>5</v>
      </c>
      <c r="C142" s="1">
        <v>44387</v>
      </c>
      <c r="D142" t="s">
        <v>7</v>
      </c>
      <c r="E142" t="s">
        <v>8</v>
      </c>
      <c r="F142">
        <f t="shared" ca="1" si="6"/>
        <v>61</v>
      </c>
      <c r="G142" t="str">
        <f t="shared" ca="1" si="7"/>
        <v>4. 5+yr</v>
      </c>
      <c r="H142">
        <f t="shared" si="8"/>
        <v>0</v>
      </c>
    </row>
    <row r="143" spans="1:8" x14ac:dyDescent="0.3">
      <c r="A143">
        <v>1467</v>
      </c>
      <c r="B143" t="s">
        <v>5</v>
      </c>
      <c r="C143" s="1">
        <v>45345</v>
      </c>
      <c r="D143" t="s">
        <v>6</v>
      </c>
      <c r="E143" s="1">
        <v>45960</v>
      </c>
      <c r="F143">
        <f t="shared" ca="1" si="6"/>
        <v>20</v>
      </c>
      <c r="G143" t="str">
        <f t="shared" ca="1" si="7"/>
        <v>2. 1-3yr</v>
      </c>
      <c r="H143">
        <f t="shared" si="8"/>
        <v>1</v>
      </c>
    </row>
    <row r="144" spans="1:8" x14ac:dyDescent="0.3">
      <c r="A144">
        <v>1468</v>
      </c>
      <c r="B144" t="s">
        <v>5</v>
      </c>
      <c r="C144" s="1">
        <v>46011</v>
      </c>
      <c r="D144" t="s">
        <v>7</v>
      </c>
      <c r="E144" t="s">
        <v>8</v>
      </c>
      <c r="F144">
        <f t="shared" ca="1" si="6"/>
        <v>7</v>
      </c>
      <c r="G144" t="str">
        <f t="shared" ca="1" si="7"/>
        <v>1. &lt;1yr</v>
      </c>
      <c r="H144">
        <f t="shared" si="8"/>
        <v>0</v>
      </c>
    </row>
    <row r="145" spans="1:8" x14ac:dyDescent="0.3">
      <c r="A145">
        <v>1469</v>
      </c>
      <c r="B145" t="s">
        <v>5</v>
      </c>
      <c r="C145" s="1">
        <v>45524</v>
      </c>
      <c r="D145" t="s">
        <v>7</v>
      </c>
      <c r="E145" t="s">
        <v>8</v>
      </c>
      <c r="F145">
        <f t="shared" ca="1" si="6"/>
        <v>23</v>
      </c>
      <c r="G145" t="str">
        <f t="shared" ca="1" si="7"/>
        <v>2. 1-3yr</v>
      </c>
      <c r="H145">
        <f t="shared" si="8"/>
        <v>0</v>
      </c>
    </row>
    <row r="146" spans="1:8" x14ac:dyDescent="0.3">
      <c r="A146">
        <v>1471</v>
      </c>
      <c r="B146" t="s">
        <v>5</v>
      </c>
      <c r="C146" s="1">
        <v>45100</v>
      </c>
      <c r="D146" t="s">
        <v>7</v>
      </c>
      <c r="E146" t="s">
        <v>8</v>
      </c>
      <c r="F146">
        <f t="shared" ca="1" si="6"/>
        <v>37</v>
      </c>
      <c r="G146" t="str">
        <f t="shared" ca="1" si="7"/>
        <v>3. 3-5yr</v>
      </c>
      <c r="H146">
        <f t="shared" si="8"/>
        <v>0</v>
      </c>
    </row>
    <row r="147" spans="1:8" x14ac:dyDescent="0.3">
      <c r="A147">
        <v>1472</v>
      </c>
      <c r="B147" t="s">
        <v>5</v>
      </c>
      <c r="C147" s="1">
        <v>45411</v>
      </c>
      <c r="D147" t="s">
        <v>6</v>
      </c>
      <c r="E147" s="1">
        <v>46151</v>
      </c>
      <c r="F147">
        <f t="shared" ca="1" si="6"/>
        <v>24</v>
      </c>
      <c r="G147" t="str">
        <f t="shared" ca="1" si="7"/>
        <v>2. 1-3yr</v>
      </c>
      <c r="H147">
        <f t="shared" si="8"/>
        <v>1</v>
      </c>
    </row>
    <row r="148" spans="1:8" x14ac:dyDescent="0.3">
      <c r="A148">
        <v>1475</v>
      </c>
      <c r="B148" t="s">
        <v>5</v>
      </c>
      <c r="C148" s="1">
        <v>45165</v>
      </c>
      <c r="D148" t="s">
        <v>7</v>
      </c>
      <c r="E148" t="s">
        <v>8</v>
      </c>
      <c r="F148">
        <f t="shared" ca="1" si="6"/>
        <v>35</v>
      </c>
      <c r="G148" t="str">
        <f t="shared" ca="1" si="7"/>
        <v>2. 1-3yr</v>
      </c>
      <c r="H148">
        <f t="shared" si="8"/>
        <v>0</v>
      </c>
    </row>
    <row r="149" spans="1:8" x14ac:dyDescent="0.3">
      <c r="A149">
        <v>1477</v>
      </c>
      <c r="B149" t="s">
        <v>5</v>
      </c>
      <c r="C149" s="1">
        <v>45503</v>
      </c>
      <c r="D149" t="s">
        <v>7</v>
      </c>
      <c r="E149" t="s">
        <v>8</v>
      </c>
      <c r="F149">
        <f t="shared" ca="1" si="6"/>
        <v>24</v>
      </c>
      <c r="G149" t="str">
        <f t="shared" ca="1" si="7"/>
        <v>2. 1-3yr</v>
      </c>
      <c r="H149">
        <f t="shared" si="8"/>
        <v>0</v>
      </c>
    </row>
    <row r="150" spans="1:8" x14ac:dyDescent="0.3">
      <c r="A150">
        <v>1482</v>
      </c>
      <c r="B150" t="s">
        <v>5</v>
      </c>
      <c r="C150" s="1">
        <v>45825</v>
      </c>
      <c r="D150" t="s">
        <v>7</v>
      </c>
      <c r="E150" t="s">
        <v>8</v>
      </c>
      <c r="F150">
        <f t="shared" ca="1" si="6"/>
        <v>14</v>
      </c>
      <c r="G150" t="str">
        <f t="shared" ca="1" si="7"/>
        <v>2. 1-3yr</v>
      </c>
      <c r="H150">
        <f t="shared" si="8"/>
        <v>0</v>
      </c>
    </row>
    <row r="151" spans="1:8" x14ac:dyDescent="0.3">
      <c r="A151">
        <v>1483</v>
      </c>
      <c r="B151" t="s">
        <v>5</v>
      </c>
      <c r="C151" s="1">
        <v>45552</v>
      </c>
      <c r="D151" t="s">
        <v>7</v>
      </c>
      <c r="E151" t="s">
        <v>8</v>
      </c>
      <c r="F151">
        <f t="shared" ca="1" si="6"/>
        <v>23</v>
      </c>
      <c r="G151" t="str">
        <f t="shared" ca="1" si="7"/>
        <v>2. 1-3yr</v>
      </c>
      <c r="H151">
        <f t="shared" si="8"/>
        <v>0</v>
      </c>
    </row>
    <row r="152" spans="1:8" x14ac:dyDescent="0.3">
      <c r="A152">
        <v>1487</v>
      </c>
      <c r="B152" t="s">
        <v>5</v>
      </c>
      <c r="C152" s="1">
        <v>44370</v>
      </c>
      <c r="D152" t="s">
        <v>7</v>
      </c>
      <c r="E152" t="s">
        <v>8</v>
      </c>
      <c r="F152">
        <f t="shared" ca="1" si="6"/>
        <v>61</v>
      </c>
      <c r="G152" t="str">
        <f t="shared" ca="1" si="7"/>
        <v>4. 5+yr</v>
      </c>
      <c r="H152">
        <f t="shared" si="8"/>
        <v>0</v>
      </c>
    </row>
    <row r="153" spans="1:8" x14ac:dyDescent="0.3">
      <c r="A153">
        <v>1488</v>
      </c>
      <c r="B153" t="s">
        <v>5</v>
      </c>
      <c r="C153" s="1">
        <v>44632</v>
      </c>
      <c r="D153" t="s">
        <v>7</v>
      </c>
      <c r="E153" t="s">
        <v>8</v>
      </c>
      <c r="F153">
        <f t="shared" ca="1" si="6"/>
        <v>53</v>
      </c>
      <c r="G153" t="str">
        <f t="shared" ca="1" si="7"/>
        <v>3. 3-5yr</v>
      </c>
      <c r="H153">
        <f t="shared" si="8"/>
        <v>0</v>
      </c>
    </row>
    <row r="154" spans="1:8" x14ac:dyDescent="0.3">
      <c r="A154">
        <v>1493</v>
      </c>
      <c r="B154" t="s">
        <v>5</v>
      </c>
      <c r="C154" s="1">
        <v>44372</v>
      </c>
      <c r="D154" t="s">
        <v>6</v>
      </c>
      <c r="E154" s="1">
        <v>45101</v>
      </c>
      <c r="F154">
        <f t="shared" ca="1" si="6"/>
        <v>23</v>
      </c>
      <c r="G154" t="str">
        <f t="shared" ca="1" si="7"/>
        <v>2. 1-3yr</v>
      </c>
      <c r="H154">
        <f t="shared" si="8"/>
        <v>1</v>
      </c>
    </row>
    <row r="155" spans="1:8" x14ac:dyDescent="0.3">
      <c r="A155">
        <v>1495</v>
      </c>
      <c r="B155" t="s">
        <v>5</v>
      </c>
      <c r="C155" s="1">
        <v>45611</v>
      </c>
      <c r="D155" t="s">
        <v>7</v>
      </c>
      <c r="E155" t="s">
        <v>8</v>
      </c>
      <c r="F155">
        <f t="shared" ca="1" si="6"/>
        <v>21</v>
      </c>
      <c r="G155" t="str">
        <f t="shared" ca="1" si="7"/>
        <v>2. 1-3yr</v>
      </c>
      <c r="H155">
        <f t="shared" si="8"/>
        <v>0</v>
      </c>
    </row>
    <row r="156" spans="1:8" x14ac:dyDescent="0.3">
      <c r="A156">
        <v>1500</v>
      </c>
      <c r="B156" t="s">
        <v>5</v>
      </c>
      <c r="C156" s="1">
        <v>45868</v>
      </c>
      <c r="D156" t="s">
        <v>7</v>
      </c>
      <c r="E156" t="s">
        <v>8</v>
      </c>
      <c r="F156">
        <f t="shared" ca="1" si="6"/>
        <v>12</v>
      </c>
      <c r="G156" t="str">
        <f t="shared" ca="1" si="7"/>
        <v>2. 1-3yr</v>
      </c>
      <c r="H156">
        <f t="shared" si="8"/>
        <v>0</v>
      </c>
    </row>
    <row r="157" spans="1:8" x14ac:dyDescent="0.3">
      <c r="A157">
        <v>1503</v>
      </c>
      <c r="B157" t="s">
        <v>5</v>
      </c>
      <c r="C157" s="1">
        <v>45249</v>
      </c>
      <c r="D157" t="s">
        <v>7</v>
      </c>
      <c r="E157" t="s">
        <v>8</v>
      </c>
      <c r="F157">
        <f t="shared" ca="1" si="6"/>
        <v>32</v>
      </c>
      <c r="G157" t="str">
        <f t="shared" ca="1" si="7"/>
        <v>2. 1-3yr</v>
      </c>
      <c r="H157">
        <f t="shared" si="8"/>
        <v>0</v>
      </c>
    </row>
    <row r="158" spans="1:8" x14ac:dyDescent="0.3">
      <c r="A158">
        <v>1505</v>
      </c>
      <c r="B158" t="s">
        <v>5</v>
      </c>
      <c r="C158" s="1">
        <v>45961</v>
      </c>
      <c r="D158" t="s">
        <v>7</v>
      </c>
      <c r="E158" t="s">
        <v>8</v>
      </c>
      <c r="F158">
        <f t="shared" ca="1" si="6"/>
        <v>9</v>
      </c>
      <c r="G158" t="str">
        <f t="shared" ca="1" si="7"/>
        <v>1. &lt;1yr</v>
      </c>
      <c r="H158">
        <f t="shared" si="8"/>
        <v>0</v>
      </c>
    </row>
    <row r="159" spans="1:8" x14ac:dyDescent="0.3">
      <c r="A159">
        <v>1508</v>
      </c>
      <c r="B159" t="s">
        <v>5</v>
      </c>
      <c r="C159" s="1">
        <v>46133</v>
      </c>
      <c r="D159" t="s">
        <v>7</v>
      </c>
      <c r="E159" t="s">
        <v>8</v>
      </c>
      <c r="F159">
        <f t="shared" ca="1" si="6"/>
        <v>3</v>
      </c>
      <c r="G159" t="str">
        <f t="shared" ca="1" si="7"/>
        <v>1. &lt;1yr</v>
      </c>
      <c r="H159">
        <f t="shared" si="8"/>
        <v>0</v>
      </c>
    </row>
    <row r="160" spans="1:8" x14ac:dyDescent="0.3">
      <c r="A160">
        <v>1510</v>
      </c>
      <c r="B160" t="s">
        <v>5</v>
      </c>
      <c r="C160" s="1">
        <v>46033</v>
      </c>
      <c r="D160" t="s">
        <v>7</v>
      </c>
      <c r="E160" t="s">
        <v>8</v>
      </c>
      <c r="F160">
        <f t="shared" ca="1" si="6"/>
        <v>7</v>
      </c>
      <c r="G160" t="str">
        <f t="shared" ca="1" si="7"/>
        <v>1. &lt;1yr</v>
      </c>
      <c r="H160">
        <f t="shared" si="8"/>
        <v>0</v>
      </c>
    </row>
    <row r="161" spans="1:8" x14ac:dyDescent="0.3">
      <c r="A161">
        <v>1513</v>
      </c>
      <c r="B161" t="s">
        <v>5</v>
      </c>
      <c r="C161" s="1">
        <v>45850</v>
      </c>
      <c r="D161" t="s">
        <v>7</v>
      </c>
      <c r="E161" t="s">
        <v>8</v>
      </c>
      <c r="F161">
        <f t="shared" ca="1" si="6"/>
        <v>13</v>
      </c>
      <c r="G161" t="str">
        <f t="shared" ca="1" si="7"/>
        <v>2. 1-3yr</v>
      </c>
      <c r="H161">
        <f t="shared" si="8"/>
        <v>0</v>
      </c>
    </row>
    <row r="162" spans="1:8" x14ac:dyDescent="0.3">
      <c r="A162">
        <v>1517</v>
      </c>
      <c r="B162" t="s">
        <v>5</v>
      </c>
      <c r="C162" s="1">
        <v>44909</v>
      </c>
      <c r="D162" t="s">
        <v>7</v>
      </c>
      <c r="E162" t="s">
        <v>8</v>
      </c>
      <c r="F162">
        <f t="shared" ca="1" si="6"/>
        <v>44</v>
      </c>
      <c r="G162" t="str">
        <f t="shared" ca="1" si="7"/>
        <v>3. 3-5yr</v>
      </c>
      <c r="H162">
        <f t="shared" si="8"/>
        <v>0</v>
      </c>
    </row>
    <row r="163" spans="1:8" x14ac:dyDescent="0.3">
      <c r="A163">
        <v>1521</v>
      </c>
      <c r="B163" t="s">
        <v>5</v>
      </c>
      <c r="C163" s="1">
        <v>46078</v>
      </c>
      <c r="D163" t="s">
        <v>6</v>
      </c>
      <c r="E163" s="1">
        <v>46108</v>
      </c>
      <c r="F163">
        <f t="shared" ca="1" si="6"/>
        <v>1</v>
      </c>
      <c r="G163" t="str">
        <f t="shared" ca="1" si="7"/>
        <v>1. &lt;1yr</v>
      </c>
      <c r="H163">
        <f t="shared" si="8"/>
        <v>1</v>
      </c>
    </row>
    <row r="164" spans="1:8" x14ac:dyDescent="0.3">
      <c r="A164">
        <v>1522</v>
      </c>
      <c r="B164" t="s">
        <v>5</v>
      </c>
      <c r="C164" s="1">
        <v>44967</v>
      </c>
      <c r="D164" t="s">
        <v>7</v>
      </c>
      <c r="E164" t="s">
        <v>8</v>
      </c>
      <c r="F164">
        <f t="shared" ca="1" si="6"/>
        <v>42</v>
      </c>
      <c r="G164" t="str">
        <f t="shared" ca="1" si="7"/>
        <v>3. 3-5yr</v>
      </c>
      <c r="H164">
        <f t="shared" si="8"/>
        <v>0</v>
      </c>
    </row>
    <row r="165" spans="1:8" x14ac:dyDescent="0.3">
      <c r="A165">
        <v>1523</v>
      </c>
      <c r="B165" t="s">
        <v>5</v>
      </c>
      <c r="C165" s="1">
        <v>45732</v>
      </c>
      <c r="D165" t="s">
        <v>6</v>
      </c>
      <c r="E165" s="1">
        <v>45913</v>
      </c>
      <c r="F165">
        <f t="shared" ca="1" si="6"/>
        <v>5</v>
      </c>
      <c r="G165" t="str">
        <f t="shared" ca="1" si="7"/>
        <v>1. &lt;1yr</v>
      </c>
      <c r="H165">
        <f t="shared" si="8"/>
        <v>1</v>
      </c>
    </row>
    <row r="166" spans="1:8" x14ac:dyDescent="0.3">
      <c r="A166">
        <v>1524</v>
      </c>
      <c r="B166" t="s">
        <v>5</v>
      </c>
      <c r="C166" s="1">
        <v>44405</v>
      </c>
      <c r="D166" t="s">
        <v>6</v>
      </c>
      <c r="E166" s="1">
        <v>45828</v>
      </c>
      <c r="F166">
        <f t="shared" ca="1" si="6"/>
        <v>46</v>
      </c>
      <c r="G166" t="str">
        <f t="shared" ca="1" si="7"/>
        <v>3. 3-5yr</v>
      </c>
      <c r="H166">
        <f t="shared" si="8"/>
        <v>1</v>
      </c>
    </row>
    <row r="167" spans="1:8" x14ac:dyDescent="0.3">
      <c r="A167">
        <v>1527</v>
      </c>
      <c r="B167" t="s">
        <v>5</v>
      </c>
      <c r="C167" s="1">
        <v>44838</v>
      </c>
      <c r="D167" t="s">
        <v>6</v>
      </c>
      <c r="E167" s="1">
        <v>45731</v>
      </c>
      <c r="F167">
        <f t="shared" ca="1" si="6"/>
        <v>29</v>
      </c>
      <c r="G167" t="str">
        <f t="shared" ca="1" si="7"/>
        <v>2. 1-3yr</v>
      </c>
      <c r="H167">
        <f t="shared" si="8"/>
        <v>1</v>
      </c>
    </row>
    <row r="168" spans="1:8" x14ac:dyDescent="0.3">
      <c r="A168">
        <v>1528</v>
      </c>
      <c r="B168" t="s">
        <v>5</v>
      </c>
      <c r="C168" s="1">
        <v>45856</v>
      </c>
      <c r="D168" t="s">
        <v>7</v>
      </c>
      <c r="E168" t="s">
        <v>8</v>
      </c>
      <c r="F168">
        <f t="shared" ca="1" si="6"/>
        <v>13</v>
      </c>
      <c r="G168" t="str">
        <f t="shared" ca="1" si="7"/>
        <v>2. 1-3yr</v>
      </c>
      <c r="H168">
        <f t="shared" si="8"/>
        <v>0</v>
      </c>
    </row>
    <row r="169" spans="1:8" x14ac:dyDescent="0.3">
      <c r="A169">
        <v>1531</v>
      </c>
      <c r="B169" t="s">
        <v>5</v>
      </c>
      <c r="C169" s="1">
        <v>45949</v>
      </c>
      <c r="D169" t="s">
        <v>7</v>
      </c>
      <c r="E169" t="s">
        <v>8</v>
      </c>
      <c r="F169">
        <f t="shared" ca="1" si="6"/>
        <v>9</v>
      </c>
      <c r="G169" t="str">
        <f t="shared" ca="1" si="7"/>
        <v>1. &lt;1yr</v>
      </c>
      <c r="H169">
        <f t="shared" si="8"/>
        <v>0</v>
      </c>
    </row>
    <row r="170" spans="1:8" x14ac:dyDescent="0.3">
      <c r="A170">
        <v>1533</v>
      </c>
      <c r="B170" t="s">
        <v>5</v>
      </c>
      <c r="C170" s="1">
        <v>45254</v>
      </c>
      <c r="D170" t="s">
        <v>6</v>
      </c>
      <c r="E170" s="1">
        <v>45986</v>
      </c>
      <c r="F170">
        <f t="shared" ca="1" si="6"/>
        <v>24</v>
      </c>
      <c r="G170" t="str">
        <f t="shared" ca="1" si="7"/>
        <v>2. 1-3yr</v>
      </c>
      <c r="H170">
        <f t="shared" si="8"/>
        <v>1</v>
      </c>
    </row>
    <row r="171" spans="1:8" x14ac:dyDescent="0.3">
      <c r="A171">
        <v>1534</v>
      </c>
      <c r="B171" t="s">
        <v>5</v>
      </c>
      <c r="C171" s="1">
        <v>45583</v>
      </c>
      <c r="D171" t="s">
        <v>7</v>
      </c>
      <c r="E171" t="s">
        <v>8</v>
      </c>
      <c r="F171">
        <f t="shared" ca="1" si="6"/>
        <v>22</v>
      </c>
      <c r="G171" t="str">
        <f t="shared" ca="1" si="7"/>
        <v>2. 1-3yr</v>
      </c>
      <c r="H171">
        <f t="shared" si="8"/>
        <v>0</v>
      </c>
    </row>
    <row r="172" spans="1:8" x14ac:dyDescent="0.3">
      <c r="A172">
        <v>1539</v>
      </c>
      <c r="B172" t="s">
        <v>5</v>
      </c>
      <c r="C172" s="1">
        <v>45806</v>
      </c>
      <c r="D172" t="s">
        <v>6</v>
      </c>
      <c r="E172" s="1">
        <v>45985</v>
      </c>
      <c r="F172">
        <f t="shared" ca="1" si="6"/>
        <v>5</v>
      </c>
      <c r="G172" t="str">
        <f t="shared" ca="1" si="7"/>
        <v>1. &lt;1yr</v>
      </c>
      <c r="H172">
        <f t="shared" si="8"/>
        <v>1</v>
      </c>
    </row>
    <row r="173" spans="1:8" x14ac:dyDescent="0.3">
      <c r="A173">
        <v>1541</v>
      </c>
      <c r="B173" t="s">
        <v>5</v>
      </c>
      <c r="C173" s="1">
        <v>45205</v>
      </c>
      <c r="D173" t="s">
        <v>7</v>
      </c>
      <c r="E173" t="s">
        <v>8</v>
      </c>
      <c r="F173">
        <f t="shared" ca="1" si="6"/>
        <v>34</v>
      </c>
      <c r="G173" t="str">
        <f t="shared" ca="1" si="7"/>
        <v>2. 1-3yr</v>
      </c>
      <c r="H173">
        <f t="shared" si="8"/>
        <v>0</v>
      </c>
    </row>
    <row r="174" spans="1:8" x14ac:dyDescent="0.3">
      <c r="A174">
        <v>1545</v>
      </c>
      <c r="B174" t="s">
        <v>5</v>
      </c>
      <c r="C174" s="1">
        <v>45684</v>
      </c>
      <c r="D174" t="s">
        <v>7</v>
      </c>
      <c r="E174" t="s">
        <v>8</v>
      </c>
      <c r="F174">
        <f t="shared" ca="1" si="6"/>
        <v>18</v>
      </c>
      <c r="G174" t="str">
        <f t="shared" ca="1" si="7"/>
        <v>2. 1-3yr</v>
      </c>
      <c r="H174">
        <f t="shared" si="8"/>
        <v>0</v>
      </c>
    </row>
    <row r="175" spans="1:8" x14ac:dyDescent="0.3">
      <c r="A175">
        <v>1553</v>
      </c>
      <c r="B175" t="s">
        <v>5</v>
      </c>
      <c r="C175" s="1">
        <v>45930</v>
      </c>
      <c r="D175" t="s">
        <v>7</v>
      </c>
      <c r="E175" t="s">
        <v>8</v>
      </c>
      <c r="F175">
        <f t="shared" ca="1" si="6"/>
        <v>10</v>
      </c>
      <c r="G175" t="str">
        <f t="shared" ca="1" si="7"/>
        <v>1. &lt;1yr</v>
      </c>
      <c r="H175">
        <f t="shared" si="8"/>
        <v>0</v>
      </c>
    </row>
    <row r="176" spans="1:8" x14ac:dyDescent="0.3">
      <c r="A176">
        <v>1555</v>
      </c>
      <c r="B176" t="s">
        <v>5</v>
      </c>
      <c r="C176" s="1">
        <v>46031</v>
      </c>
      <c r="D176" t="s">
        <v>7</v>
      </c>
      <c r="E176" t="s">
        <v>8</v>
      </c>
      <c r="F176">
        <f t="shared" ca="1" si="6"/>
        <v>7</v>
      </c>
      <c r="G176" t="str">
        <f t="shared" ca="1" si="7"/>
        <v>1. &lt;1yr</v>
      </c>
      <c r="H176">
        <f t="shared" si="8"/>
        <v>0</v>
      </c>
    </row>
    <row r="177" spans="1:8" x14ac:dyDescent="0.3">
      <c r="A177">
        <v>1556</v>
      </c>
      <c r="B177" t="s">
        <v>5</v>
      </c>
      <c r="C177" s="1">
        <v>46140</v>
      </c>
      <c r="D177" t="s">
        <v>7</v>
      </c>
      <c r="E177" t="s">
        <v>8</v>
      </c>
      <c r="F177">
        <f t="shared" ca="1" si="6"/>
        <v>3</v>
      </c>
      <c r="G177" t="str">
        <f t="shared" ca="1" si="7"/>
        <v>1. &lt;1yr</v>
      </c>
      <c r="H177">
        <f t="shared" si="8"/>
        <v>0</v>
      </c>
    </row>
    <row r="178" spans="1:8" x14ac:dyDescent="0.3">
      <c r="A178">
        <v>1565</v>
      </c>
      <c r="B178" t="s">
        <v>5</v>
      </c>
      <c r="C178" s="1">
        <v>45904</v>
      </c>
      <c r="D178" t="s">
        <v>7</v>
      </c>
      <c r="E178" t="s">
        <v>8</v>
      </c>
      <c r="F178">
        <f t="shared" ca="1" si="6"/>
        <v>11</v>
      </c>
      <c r="G178" t="str">
        <f t="shared" ca="1" si="7"/>
        <v>1. &lt;1yr</v>
      </c>
      <c r="H178">
        <f t="shared" si="8"/>
        <v>0</v>
      </c>
    </row>
    <row r="179" spans="1:8" x14ac:dyDescent="0.3">
      <c r="A179">
        <v>1566</v>
      </c>
      <c r="B179" t="s">
        <v>5</v>
      </c>
      <c r="C179" s="1">
        <v>45612</v>
      </c>
      <c r="D179" t="s">
        <v>7</v>
      </c>
      <c r="E179" t="s">
        <v>8</v>
      </c>
      <c r="F179">
        <f t="shared" ca="1" si="6"/>
        <v>21</v>
      </c>
      <c r="G179" t="str">
        <f t="shared" ca="1" si="7"/>
        <v>2. 1-3yr</v>
      </c>
      <c r="H179">
        <f t="shared" si="8"/>
        <v>0</v>
      </c>
    </row>
    <row r="180" spans="1:8" x14ac:dyDescent="0.3">
      <c r="A180">
        <v>1567</v>
      </c>
      <c r="B180" t="s">
        <v>5</v>
      </c>
      <c r="C180" s="1">
        <v>44714</v>
      </c>
      <c r="D180" t="s">
        <v>7</v>
      </c>
      <c r="E180" t="s">
        <v>8</v>
      </c>
      <c r="F180">
        <f t="shared" ca="1" si="6"/>
        <v>50</v>
      </c>
      <c r="G180" t="str">
        <f t="shared" ca="1" si="7"/>
        <v>3. 3-5yr</v>
      </c>
      <c r="H180">
        <f t="shared" si="8"/>
        <v>0</v>
      </c>
    </row>
    <row r="181" spans="1:8" x14ac:dyDescent="0.3">
      <c r="A181">
        <v>1568</v>
      </c>
      <c r="B181" t="s">
        <v>5</v>
      </c>
      <c r="C181" s="1">
        <v>45522</v>
      </c>
      <c r="D181" t="s">
        <v>7</v>
      </c>
      <c r="E181" t="s">
        <v>8</v>
      </c>
      <c r="F181">
        <f t="shared" ca="1" si="6"/>
        <v>24</v>
      </c>
      <c r="G181" t="str">
        <f t="shared" ca="1" si="7"/>
        <v>2. 1-3yr</v>
      </c>
      <c r="H181">
        <f t="shared" si="8"/>
        <v>0</v>
      </c>
    </row>
    <row r="182" spans="1:8" x14ac:dyDescent="0.3">
      <c r="A182">
        <v>1572</v>
      </c>
      <c r="B182" t="s">
        <v>5</v>
      </c>
      <c r="C182" s="1">
        <v>44995</v>
      </c>
      <c r="D182" t="s">
        <v>6</v>
      </c>
      <c r="E182" s="1">
        <v>45438</v>
      </c>
      <c r="F182">
        <f t="shared" ca="1" si="6"/>
        <v>14</v>
      </c>
      <c r="G182" t="str">
        <f t="shared" ca="1" si="7"/>
        <v>2. 1-3yr</v>
      </c>
      <c r="H182">
        <f t="shared" si="8"/>
        <v>1</v>
      </c>
    </row>
    <row r="183" spans="1:8" x14ac:dyDescent="0.3">
      <c r="A183">
        <v>1573</v>
      </c>
      <c r="B183" t="s">
        <v>5</v>
      </c>
      <c r="C183" s="1">
        <v>45176</v>
      </c>
      <c r="D183" t="s">
        <v>7</v>
      </c>
      <c r="E183" t="s">
        <v>8</v>
      </c>
      <c r="F183">
        <f t="shared" ca="1" si="6"/>
        <v>35</v>
      </c>
      <c r="G183" t="str">
        <f t="shared" ca="1" si="7"/>
        <v>2. 1-3yr</v>
      </c>
      <c r="H183">
        <f t="shared" si="8"/>
        <v>0</v>
      </c>
    </row>
    <row r="184" spans="1:8" x14ac:dyDescent="0.3">
      <c r="A184">
        <v>1574</v>
      </c>
      <c r="B184" t="s">
        <v>5</v>
      </c>
      <c r="C184" s="1">
        <v>45874</v>
      </c>
      <c r="D184" t="s">
        <v>7</v>
      </c>
      <c r="E184" t="s">
        <v>8</v>
      </c>
      <c r="F184">
        <f t="shared" ca="1" si="6"/>
        <v>12</v>
      </c>
      <c r="G184" t="str">
        <f t="shared" ca="1" si="7"/>
        <v>2. 1-3yr</v>
      </c>
      <c r="H184">
        <f t="shared" si="8"/>
        <v>0</v>
      </c>
    </row>
    <row r="185" spans="1:8" x14ac:dyDescent="0.3">
      <c r="A185">
        <v>1581</v>
      </c>
      <c r="B185" t="s">
        <v>5</v>
      </c>
      <c r="C185" s="1">
        <v>46210</v>
      </c>
      <c r="D185" t="s">
        <v>7</v>
      </c>
      <c r="E185" t="s">
        <v>8</v>
      </c>
      <c r="F185">
        <f t="shared" ca="1" si="6"/>
        <v>1</v>
      </c>
      <c r="G185" t="str">
        <f t="shared" ca="1" si="7"/>
        <v>1. &lt;1yr</v>
      </c>
      <c r="H185">
        <f t="shared" si="8"/>
        <v>0</v>
      </c>
    </row>
    <row r="186" spans="1:8" x14ac:dyDescent="0.3">
      <c r="A186">
        <v>1582</v>
      </c>
      <c r="B186" t="s">
        <v>5</v>
      </c>
      <c r="C186" s="1">
        <v>45834</v>
      </c>
      <c r="D186" t="s">
        <v>7</v>
      </c>
      <c r="E186" t="s">
        <v>8</v>
      </c>
      <c r="F186">
        <f t="shared" ca="1" si="6"/>
        <v>13</v>
      </c>
      <c r="G186" t="str">
        <f t="shared" ca="1" si="7"/>
        <v>2. 1-3yr</v>
      </c>
      <c r="H186">
        <f t="shared" si="8"/>
        <v>0</v>
      </c>
    </row>
    <row r="187" spans="1:8" x14ac:dyDescent="0.3">
      <c r="A187">
        <v>1585</v>
      </c>
      <c r="B187" t="s">
        <v>5</v>
      </c>
      <c r="C187" s="1">
        <v>45844</v>
      </c>
      <c r="D187" t="s">
        <v>7</v>
      </c>
      <c r="E187" t="s">
        <v>8</v>
      </c>
      <c r="F187">
        <f t="shared" ca="1" si="6"/>
        <v>13</v>
      </c>
      <c r="G187" t="str">
        <f t="shared" ca="1" si="7"/>
        <v>2. 1-3yr</v>
      </c>
      <c r="H187">
        <f t="shared" si="8"/>
        <v>0</v>
      </c>
    </row>
    <row r="188" spans="1:8" x14ac:dyDescent="0.3">
      <c r="A188">
        <v>1589</v>
      </c>
      <c r="B188" t="s">
        <v>5</v>
      </c>
      <c r="C188" s="1">
        <v>45008</v>
      </c>
      <c r="D188" t="s">
        <v>7</v>
      </c>
      <c r="E188" t="s">
        <v>8</v>
      </c>
      <c r="F188">
        <f t="shared" ca="1" si="6"/>
        <v>40</v>
      </c>
      <c r="G188" t="str">
        <f t="shared" ca="1" si="7"/>
        <v>3. 3-5yr</v>
      </c>
      <c r="H188">
        <f t="shared" si="8"/>
        <v>0</v>
      </c>
    </row>
    <row r="189" spans="1:8" x14ac:dyDescent="0.3">
      <c r="A189">
        <v>1593</v>
      </c>
      <c r="B189" t="s">
        <v>5</v>
      </c>
      <c r="C189" s="1">
        <v>46219</v>
      </c>
      <c r="D189" t="s">
        <v>7</v>
      </c>
      <c r="E189" t="s">
        <v>8</v>
      </c>
      <c r="F189">
        <f t="shared" ca="1" si="6"/>
        <v>1</v>
      </c>
      <c r="G189" t="str">
        <f t="shared" ca="1" si="7"/>
        <v>1. &lt;1yr</v>
      </c>
      <c r="H189">
        <f t="shared" si="8"/>
        <v>0</v>
      </c>
    </row>
    <row r="190" spans="1:8" x14ac:dyDescent="0.3">
      <c r="A190">
        <v>1595</v>
      </c>
      <c r="B190" t="s">
        <v>5</v>
      </c>
      <c r="C190" s="1">
        <v>46210</v>
      </c>
      <c r="D190" t="s">
        <v>7</v>
      </c>
      <c r="E190" t="s">
        <v>8</v>
      </c>
      <c r="F190">
        <f t="shared" ca="1" si="6"/>
        <v>1</v>
      </c>
      <c r="G190" t="str">
        <f t="shared" ca="1" si="7"/>
        <v>1. &lt;1yr</v>
      </c>
      <c r="H190">
        <f t="shared" si="8"/>
        <v>0</v>
      </c>
    </row>
    <row r="191" spans="1:8" x14ac:dyDescent="0.3">
      <c r="A191">
        <v>1596</v>
      </c>
      <c r="B191" t="s">
        <v>5</v>
      </c>
      <c r="C191" s="1">
        <v>44182</v>
      </c>
      <c r="D191" t="s">
        <v>7</v>
      </c>
      <c r="E191" t="s">
        <v>8</v>
      </c>
      <c r="F191">
        <f t="shared" ca="1" si="6"/>
        <v>68</v>
      </c>
      <c r="G191" t="str">
        <f t="shared" ca="1" si="7"/>
        <v>4. 5+yr</v>
      </c>
      <c r="H191">
        <f t="shared" si="8"/>
        <v>0</v>
      </c>
    </row>
    <row r="192" spans="1:8" x14ac:dyDescent="0.3">
      <c r="A192">
        <v>1598</v>
      </c>
      <c r="B192" t="s">
        <v>5</v>
      </c>
      <c r="C192" s="1">
        <v>45880</v>
      </c>
      <c r="D192" t="s">
        <v>7</v>
      </c>
      <c r="E192" t="s">
        <v>8</v>
      </c>
      <c r="F192">
        <f t="shared" ca="1" si="6"/>
        <v>12</v>
      </c>
      <c r="G192" t="str">
        <f t="shared" ca="1" si="7"/>
        <v>2. 1-3yr</v>
      </c>
      <c r="H192">
        <f t="shared" si="8"/>
        <v>0</v>
      </c>
    </row>
    <row r="193" spans="1:8" x14ac:dyDescent="0.3">
      <c r="A193">
        <v>1611</v>
      </c>
      <c r="B193" t="s">
        <v>5</v>
      </c>
      <c r="C193" s="1">
        <v>45776</v>
      </c>
      <c r="D193" t="s">
        <v>7</v>
      </c>
      <c r="E193" t="s">
        <v>8</v>
      </c>
      <c r="F193">
        <f t="shared" ca="1" si="6"/>
        <v>15</v>
      </c>
      <c r="G193" t="str">
        <f t="shared" ca="1" si="7"/>
        <v>2. 1-3yr</v>
      </c>
      <c r="H193">
        <f t="shared" si="8"/>
        <v>0</v>
      </c>
    </row>
    <row r="194" spans="1:8" x14ac:dyDescent="0.3">
      <c r="A194">
        <v>1612</v>
      </c>
      <c r="B194" t="s">
        <v>5</v>
      </c>
      <c r="C194" s="1">
        <v>46045</v>
      </c>
      <c r="D194" t="s">
        <v>7</v>
      </c>
      <c r="E194" t="s">
        <v>8</v>
      </c>
      <c r="F194">
        <f t="shared" ca="1" si="6"/>
        <v>6</v>
      </c>
      <c r="G194" t="str">
        <f t="shared" ca="1" si="7"/>
        <v>1. &lt;1yr</v>
      </c>
      <c r="H194">
        <f t="shared" si="8"/>
        <v>0</v>
      </c>
    </row>
    <row r="195" spans="1:8" x14ac:dyDescent="0.3">
      <c r="A195">
        <v>1614</v>
      </c>
      <c r="B195" t="s">
        <v>5</v>
      </c>
      <c r="C195" s="1">
        <v>44864</v>
      </c>
      <c r="D195" t="s">
        <v>6</v>
      </c>
      <c r="E195" s="1">
        <v>45295</v>
      </c>
      <c r="F195">
        <f t="shared" ref="F195:F258" ca="1" si="9">DATEDIF(C195, IF(OR(E195="",E195="NULL"), TODAY(), E195), "m")</f>
        <v>14</v>
      </c>
      <c r="G195" t="str">
        <f t="shared" ref="G195:G258" ca="1" si="10">IF(F195&lt;12,"1. &lt;1yr",IF(F195&lt;36,"2. 1-3yr",IF(F195&lt;60,"3. 3-5yr","4. 5+yr")))</f>
        <v>2. 1-3yr</v>
      </c>
      <c r="H195">
        <f t="shared" ref="H195:H258" si="11">IF(D195="Yes",1,0)</f>
        <v>1</v>
      </c>
    </row>
    <row r="196" spans="1:8" x14ac:dyDescent="0.3">
      <c r="A196">
        <v>1615</v>
      </c>
      <c r="B196" t="s">
        <v>5</v>
      </c>
      <c r="C196" s="1">
        <v>45763</v>
      </c>
      <c r="D196" t="s">
        <v>7</v>
      </c>
      <c r="E196" t="s">
        <v>8</v>
      </c>
      <c r="F196">
        <f t="shared" ca="1" si="9"/>
        <v>16</v>
      </c>
      <c r="G196" t="str">
        <f t="shared" ca="1" si="10"/>
        <v>2. 1-3yr</v>
      </c>
      <c r="H196">
        <f t="shared" si="11"/>
        <v>0</v>
      </c>
    </row>
    <row r="197" spans="1:8" x14ac:dyDescent="0.3">
      <c r="A197">
        <v>1619</v>
      </c>
      <c r="B197" t="s">
        <v>5</v>
      </c>
      <c r="C197" s="1">
        <v>44927</v>
      </c>
      <c r="D197" t="s">
        <v>7</v>
      </c>
      <c r="E197" t="s">
        <v>8</v>
      </c>
      <c r="F197">
        <f t="shared" ca="1" si="9"/>
        <v>43</v>
      </c>
      <c r="G197" t="str">
        <f t="shared" ca="1" si="10"/>
        <v>3. 3-5yr</v>
      </c>
      <c r="H197">
        <f t="shared" si="11"/>
        <v>0</v>
      </c>
    </row>
    <row r="198" spans="1:8" x14ac:dyDescent="0.3">
      <c r="A198">
        <v>1623</v>
      </c>
      <c r="B198" t="s">
        <v>5</v>
      </c>
      <c r="C198" s="1">
        <v>45670</v>
      </c>
      <c r="D198" t="s">
        <v>7</v>
      </c>
      <c r="E198" t="s">
        <v>8</v>
      </c>
      <c r="F198">
        <f t="shared" ca="1" si="9"/>
        <v>19</v>
      </c>
      <c r="G198" t="str">
        <f t="shared" ca="1" si="10"/>
        <v>2. 1-3yr</v>
      </c>
      <c r="H198">
        <f t="shared" si="11"/>
        <v>0</v>
      </c>
    </row>
    <row r="199" spans="1:8" x14ac:dyDescent="0.3">
      <c r="A199">
        <v>1625</v>
      </c>
      <c r="B199" t="s">
        <v>5</v>
      </c>
      <c r="C199" s="1">
        <v>45431</v>
      </c>
      <c r="D199" t="s">
        <v>7</v>
      </c>
      <c r="E199" t="s">
        <v>8</v>
      </c>
      <c r="F199">
        <f t="shared" ca="1" si="9"/>
        <v>26</v>
      </c>
      <c r="G199" t="str">
        <f t="shared" ca="1" si="10"/>
        <v>2. 1-3yr</v>
      </c>
      <c r="H199">
        <f t="shared" si="11"/>
        <v>0</v>
      </c>
    </row>
    <row r="200" spans="1:8" x14ac:dyDescent="0.3">
      <c r="A200">
        <v>1630</v>
      </c>
      <c r="B200" t="s">
        <v>5</v>
      </c>
      <c r="C200" s="1">
        <v>44456</v>
      </c>
      <c r="D200" t="s">
        <v>7</v>
      </c>
      <c r="E200" t="s">
        <v>8</v>
      </c>
      <c r="F200">
        <f t="shared" ca="1" si="9"/>
        <v>59</v>
      </c>
      <c r="G200" t="str">
        <f t="shared" ca="1" si="10"/>
        <v>3. 3-5yr</v>
      </c>
      <c r="H200">
        <f t="shared" si="11"/>
        <v>0</v>
      </c>
    </row>
    <row r="201" spans="1:8" x14ac:dyDescent="0.3">
      <c r="A201">
        <v>1632</v>
      </c>
      <c r="B201" t="s">
        <v>5</v>
      </c>
      <c r="C201" s="1">
        <v>45234</v>
      </c>
      <c r="D201" t="s">
        <v>7</v>
      </c>
      <c r="E201" t="s">
        <v>8</v>
      </c>
      <c r="F201">
        <f t="shared" ca="1" si="9"/>
        <v>33</v>
      </c>
      <c r="G201" t="str">
        <f t="shared" ca="1" si="10"/>
        <v>2. 1-3yr</v>
      </c>
      <c r="H201">
        <f t="shared" si="11"/>
        <v>0</v>
      </c>
    </row>
    <row r="202" spans="1:8" x14ac:dyDescent="0.3">
      <c r="A202">
        <v>1633</v>
      </c>
      <c r="B202" t="s">
        <v>5</v>
      </c>
      <c r="C202" s="1">
        <v>44313</v>
      </c>
      <c r="D202" t="s">
        <v>6</v>
      </c>
      <c r="E202" s="1">
        <v>45280</v>
      </c>
      <c r="F202">
        <f t="shared" ca="1" si="9"/>
        <v>31</v>
      </c>
      <c r="G202" t="str">
        <f t="shared" ca="1" si="10"/>
        <v>2. 1-3yr</v>
      </c>
      <c r="H202">
        <f t="shared" si="11"/>
        <v>1</v>
      </c>
    </row>
    <row r="203" spans="1:8" x14ac:dyDescent="0.3">
      <c r="A203">
        <v>1637</v>
      </c>
      <c r="B203" t="s">
        <v>5</v>
      </c>
      <c r="C203" s="1">
        <v>46017</v>
      </c>
      <c r="D203" t="s">
        <v>7</v>
      </c>
      <c r="E203" t="s">
        <v>8</v>
      </c>
      <c r="F203">
        <f t="shared" ca="1" si="9"/>
        <v>7</v>
      </c>
      <c r="G203" t="str">
        <f t="shared" ca="1" si="10"/>
        <v>1. &lt;1yr</v>
      </c>
      <c r="H203">
        <f t="shared" si="11"/>
        <v>0</v>
      </c>
    </row>
    <row r="204" spans="1:8" x14ac:dyDescent="0.3">
      <c r="A204">
        <v>1639</v>
      </c>
      <c r="B204" t="s">
        <v>5</v>
      </c>
      <c r="C204" s="1">
        <v>45718</v>
      </c>
      <c r="D204" t="s">
        <v>7</v>
      </c>
      <c r="E204" t="s">
        <v>8</v>
      </c>
      <c r="F204">
        <f t="shared" ca="1" si="9"/>
        <v>17</v>
      </c>
      <c r="G204" t="str">
        <f t="shared" ca="1" si="10"/>
        <v>2. 1-3yr</v>
      </c>
      <c r="H204">
        <f t="shared" si="11"/>
        <v>0</v>
      </c>
    </row>
    <row r="205" spans="1:8" x14ac:dyDescent="0.3">
      <c r="A205">
        <v>1640</v>
      </c>
      <c r="B205" t="s">
        <v>5</v>
      </c>
      <c r="C205" s="1">
        <v>45844</v>
      </c>
      <c r="D205" t="s">
        <v>7</v>
      </c>
      <c r="E205" t="s">
        <v>8</v>
      </c>
      <c r="F205">
        <f t="shared" ca="1" si="9"/>
        <v>13</v>
      </c>
      <c r="G205" t="str">
        <f t="shared" ca="1" si="10"/>
        <v>2. 1-3yr</v>
      </c>
      <c r="H205">
        <f t="shared" si="11"/>
        <v>0</v>
      </c>
    </row>
    <row r="206" spans="1:8" x14ac:dyDescent="0.3">
      <c r="A206">
        <v>1645</v>
      </c>
      <c r="B206" t="s">
        <v>5</v>
      </c>
      <c r="C206" s="1">
        <v>45960</v>
      </c>
      <c r="D206" t="s">
        <v>7</v>
      </c>
      <c r="E206" t="s">
        <v>8</v>
      </c>
      <c r="F206">
        <f t="shared" ca="1" si="9"/>
        <v>9</v>
      </c>
      <c r="G206" t="str">
        <f t="shared" ca="1" si="10"/>
        <v>1. &lt;1yr</v>
      </c>
      <c r="H206">
        <f t="shared" si="11"/>
        <v>0</v>
      </c>
    </row>
    <row r="207" spans="1:8" x14ac:dyDescent="0.3">
      <c r="A207">
        <v>1648</v>
      </c>
      <c r="B207" t="s">
        <v>5</v>
      </c>
      <c r="C207" s="1">
        <v>46179</v>
      </c>
      <c r="D207" t="s">
        <v>7</v>
      </c>
      <c r="E207" t="s">
        <v>8</v>
      </c>
      <c r="F207">
        <f t="shared" ca="1" si="9"/>
        <v>2</v>
      </c>
      <c r="G207" t="str">
        <f t="shared" ca="1" si="10"/>
        <v>1. &lt;1yr</v>
      </c>
      <c r="H207">
        <f t="shared" si="11"/>
        <v>0</v>
      </c>
    </row>
    <row r="208" spans="1:8" x14ac:dyDescent="0.3">
      <c r="A208">
        <v>1650</v>
      </c>
      <c r="B208" t="s">
        <v>5</v>
      </c>
      <c r="C208" s="1">
        <v>46096</v>
      </c>
      <c r="D208" t="s">
        <v>7</v>
      </c>
      <c r="E208" t="s">
        <v>8</v>
      </c>
      <c r="F208">
        <f t="shared" ca="1" si="9"/>
        <v>5</v>
      </c>
      <c r="G208" t="str">
        <f t="shared" ca="1" si="10"/>
        <v>1. &lt;1yr</v>
      </c>
      <c r="H208">
        <f t="shared" si="11"/>
        <v>0</v>
      </c>
    </row>
    <row r="209" spans="1:8" x14ac:dyDescent="0.3">
      <c r="A209">
        <v>1657</v>
      </c>
      <c r="B209" t="s">
        <v>5</v>
      </c>
      <c r="C209" s="1">
        <v>45840</v>
      </c>
      <c r="D209" t="s">
        <v>7</v>
      </c>
      <c r="E209" t="s">
        <v>8</v>
      </c>
      <c r="F209">
        <f t="shared" ca="1" si="9"/>
        <v>13</v>
      </c>
      <c r="G209" t="str">
        <f t="shared" ca="1" si="10"/>
        <v>2. 1-3yr</v>
      </c>
      <c r="H209">
        <f t="shared" si="11"/>
        <v>0</v>
      </c>
    </row>
    <row r="210" spans="1:8" x14ac:dyDescent="0.3">
      <c r="A210">
        <v>1662</v>
      </c>
      <c r="B210" t="s">
        <v>5</v>
      </c>
      <c r="C210" s="1">
        <v>45690</v>
      </c>
      <c r="D210" t="s">
        <v>7</v>
      </c>
      <c r="E210" t="s">
        <v>8</v>
      </c>
      <c r="F210">
        <f t="shared" ca="1" si="9"/>
        <v>18</v>
      </c>
      <c r="G210" t="str">
        <f t="shared" ca="1" si="10"/>
        <v>2. 1-3yr</v>
      </c>
      <c r="H210">
        <f t="shared" si="11"/>
        <v>0</v>
      </c>
    </row>
    <row r="211" spans="1:8" x14ac:dyDescent="0.3">
      <c r="A211">
        <v>1668</v>
      </c>
      <c r="B211" t="s">
        <v>5</v>
      </c>
      <c r="C211" s="1">
        <v>43908</v>
      </c>
      <c r="D211" t="s">
        <v>7</v>
      </c>
      <c r="E211" t="s">
        <v>8</v>
      </c>
      <c r="F211">
        <f t="shared" ca="1" si="9"/>
        <v>77</v>
      </c>
      <c r="G211" t="str">
        <f t="shared" ca="1" si="10"/>
        <v>4. 5+yr</v>
      </c>
      <c r="H211">
        <f t="shared" si="11"/>
        <v>0</v>
      </c>
    </row>
    <row r="212" spans="1:8" x14ac:dyDescent="0.3">
      <c r="A212">
        <v>1669</v>
      </c>
      <c r="B212" t="s">
        <v>5</v>
      </c>
      <c r="C212" s="1">
        <v>45278</v>
      </c>
      <c r="D212" t="s">
        <v>6</v>
      </c>
      <c r="E212" s="1">
        <v>46026</v>
      </c>
      <c r="F212">
        <f t="shared" ca="1" si="9"/>
        <v>24</v>
      </c>
      <c r="G212" t="str">
        <f t="shared" ca="1" si="10"/>
        <v>2. 1-3yr</v>
      </c>
      <c r="H212">
        <f t="shared" si="11"/>
        <v>1</v>
      </c>
    </row>
    <row r="213" spans="1:8" x14ac:dyDescent="0.3">
      <c r="A213">
        <v>1671</v>
      </c>
      <c r="B213" t="s">
        <v>5</v>
      </c>
      <c r="C213" s="1">
        <v>44888</v>
      </c>
      <c r="D213" t="s">
        <v>7</v>
      </c>
      <c r="E213" t="s">
        <v>8</v>
      </c>
      <c r="F213">
        <f t="shared" ca="1" si="9"/>
        <v>44</v>
      </c>
      <c r="G213" t="str">
        <f t="shared" ca="1" si="10"/>
        <v>3. 3-5yr</v>
      </c>
      <c r="H213">
        <f t="shared" si="11"/>
        <v>0</v>
      </c>
    </row>
    <row r="214" spans="1:8" x14ac:dyDescent="0.3">
      <c r="A214">
        <v>1672</v>
      </c>
      <c r="B214" t="s">
        <v>5</v>
      </c>
      <c r="C214" s="1">
        <v>45816</v>
      </c>
      <c r="D214" t="s">
        <v>7</v>
      </c>
      <c r="E214" t="s">
        <v>8</v>
      </c>
      <c r="F214">
        <f t="shared" ca="1" si="9"/>
        <v>14</v>
      </c>
      <c r="G214" t="str">
        <f t="shared" ca="1" si="10"/>
        <v>2. 1-3yr</v>
      </c>
      <c r="H214">
        <f t="shared" si="11"/>
        <v>0</v>
      </c>
    </row>
    <row r="215" spans="1:8" x14ac:dyDescent="0.3">
      <c r="A215">
        <v>1674</v>
      </c>
      <c r="B215" t="s">
        <v>5</v>
      </c>
      <c r="C215" s="1">
        <v>45897</v>
      </c>
      <c r="D215" t="s">
        <v>7</v>
      </c>
      <c r="E215" t="s">
        <v>8</v>
      </c>
      <c r="F215">
        <f t="shared" ca="1" si="9"/>
        <v>11</v>
      </c>
      <c r="G215" t="str">
        <f t="shared" ca="1" si="10"/>
        <v>1. &lt;1yr</v>
      </c>
      <c r="H215">
        <f t="shared" si="11"/>
        <v>0</v>
      </c>
    </row>
    <row r="216" spans="1:8" x14ac:dyDescent="0.3">
      <c r="A216">
        <v>1678</v>
      </c>
      <c r="B216" t="s">
        <v>5</v>
      </c>
      <c r="C216" s="1">
        <v>45587</v>
      </c>
      <c r="D216" t="s">
        <v>6</v>
      </c>
      <c r="E216" s="1">
        <v>45960</v>
      </c>
      <c r="F216">
        <f t="shared" ca="1" si="9"/>
        <v>12</v>
      </c>
      <c r="G216" t="str">
        <f t="shared" ca="1" si="10"/>
        <v>2. 1-3yr</v>
      </c>
      <c r="H216">
        <f t="shared" si="11"/>
        <v>1</v>
      </c>
    </row>
    <row r="217" spans="1:8" x14ac:dyDescent="0.3">
      <c r="A217">
        <v>1681</v>
      </c>
      <c r="B217" t="s">
        <v>5</v>
      </c>
      <c r="C217" s="1">
        <v>45539</v>
      </c>
      <c r="D217" t="s">
        <v>7</v>
      </c>
      <c r="E217" t="s">
        <v>8</v>
      </c>
      <c r="F217">
        <f t="shared" ca="1" si="9"/>
        <v>23</v>
      </c>
      <c r="G217" t="str">
        <f t="shared" ca="1" si="10"/>
        <v>2. 1-3yr</v>
      </c>
      <c r="H217">
        <f t="shared" si="11"/>
        <v>0</v>
      </c>
    </row>
    <row r="218" spans="1:8" x14ac:dyDescent="0.3">
      <c r="A218">
        <v>1683</v>
      </c>
      <c r="B218" t="s">
        <v>5</v>
      </c>
      <c r="C218" s="1">
        <v>45934</v>
      </c>
      <c r="D218" t="s">
        <v>6</v>
      </c>
      <c r="E218" s="1">
        <v>45964</v>
      </c>
      <c r="F218">
        <f t="shared" ca="1" si="9"/>
        <v>0</v>
      </c>
      <c r="G218" t="str">
        <f t="shared" ca="1" si="10"/>
        <v>1. &lt;1yr</v>
      </c>
      <c r="H218">
        <f t="shared" si="11"/>
        <v>1</v>
      </c>
    </row>
    <row r="219" spans="1:8" x14ac:dyDescent="0.3">
      <c r="A219">
        <v>1685</v>
      </c>
      <c r="B219" t="s">
        <v>5</v>
      </c>
      <c r="C219" s="1">
        <v>46200</v>
      </c>
      <c r="D219" t="s">
        <v>7</v>
      </c>
      <c r="E219" t="s">
        <v>8</v>
      </c>
      <c r="F219">
        <f t="shared" ca="1" si="9"/>
        <v>1</v>
      </c>
      <c r="G219" t="str">
        <f t="shared" ca="1" si="10"/>
        <v>1. &lt;1yr</v>
      </c>
      <c r="H219">
        <f t="shared" si="11"/>
        <v>0</v>
      </c>
    </row>
    <row r="220" spans="1:8" x14ac:dyDescent="0.3">
      <c r="A220">
        <v>1686</v>
      </c>
      <c r="B220" t="s">
        <v>5</v>
      </c>
      <c r="C220" s="1">
        <v>44134</v>
      </c>
      <c r="D220" t="s">
        <v>7</v>
      </c>
      <c r="E220" t="s">
        <v>8</v>
      </c>
      <c r="F220">
        <f t="shared" ca="1" si="9"/>
        <v>69</v>
      </c>
      <c r="G220" t="str">
        <f t="shared" ca="1" si="10"/>
        <v>4. 5+yr</v>
      </c>
      <c r="H220">
        <f t="shared" si="11"/>
        <v>0</v>
      </c>
    </row>
    <row r="221" spans="1:8" x14ac:dyDescent="0.3">
      <c r="A221">
        <v>1688</v>
      </c>
      <c r="B221" t="s">
        <v>5</v>
      </c>
      <c r="C221" s="1">
        <v>46186</v>
      </c>
      <c r="D221" t="s">
        <v>7</v>
      </c>
      <c r="E221" t="s">
        <v>8</v>
      </c>
      <c r="F221">
        <f t="shared" ca="1" si="9"/>
        <v>2</v>
      </c>
      <c r="G221" t="str">
        <f t="shared" ca="1" si="10"/>
        <v>1. &lt;1yr</v>
      </c>
      <c r="H221">
        <f t="shared" si="11"/>
        <v>0</v>
      </c>
    </row>
    <row r="222" spans="1:8" x14ac:dyDescent="0.3">
      <c r="A222">
        <v>1694</v>
      </c>
      <c r="B222" t="s">
        <v>5</v>
      </c>
      <c r="C222" s="1">
        <v>44642</v>
      </c>
      <c r="D222" t="s">
        <v>7</v>
      </c>
      <c r="E222" t="s">
        <v>8</v>
      </c>
      <c r="F222">
        <f t="shared" ca="1" si="9"/>
        <v>52</v>
      </c>
      <c r="G222" t="str">
        <f t="shared" ca="1" si="10"/>
        <v>3. 3-5yr</v>
      </c>
      <c r="H222">
        <f t="shared" si="11"/>
        <v>0</v>
      </c>
    </row>
    <row r="223" spans="1:8" x14ac:dyDescent="0.3">
      <c r="A223">
        <v>1700</v>
      </c>
      <c r="B223" t="s">
        <v>5</v>
      </c>
      <c r="C223" s="1">
        <v>44467</v>
      </c>
      <c r="D223" t="s">
        <v>7</v>
      </c>
      <c r="E223" t="s">
        <v>8</v>
      </c>
      <c r="F223">
        <f t="shared" ca="1" si="9"/>
        <v>58</v>
      </c>
      <c r="G223" t="str">
        <f t="shared" ca="1" si="10"/>
        <v>3. 3-5yr</v>
      </c>
      <c r="H223">
        <f t="shared" si="11"/>
        <v>0</v>
      </c>
    </row>
    <row r="224" spans="1:8" x14ac:dyDescent="0.3">
      <c r="A224">
        <v>1703</v>
      </c>
      <c r="B224" t="s">
        <v>5</v>
      </c>
      <c r="C224" s="1">
        <v>45726</v>
      </c>
      <c r="D224" t="s">
        <v>7</v>
      </c>
      <c r="E224" t="s">
        <v>8</v>
      </c>
      <c r="F224">
        <f t="shared" ca="1" si="9"/>
        <v>17</v>
      </c>
      <c r="G224" t="str">
        <f t="shared" ca="1" si="10"/>
        <v>2. 1-3yr</v>
      </c>
      <c r="H224">
        <f t="shared" si="11"/>
        <v>0</v>
      </c>
    </row>
    <row r="225" spans="1:8" x14ac:dyDescent="0.3">
      <c r="A225">
        <v>1711</v>
      </c>
      <c r="B225" t="s">
        <v>5</v>
      </c>
      <c r="C225" s="1">
        <v>45783</v>
      </c>
      <c r="D225" t="s">
        <v>7</v>
      </c>
      <c r="E225" t="s">
        <v>8</v>
      </c>
      <c r="F225">
        <f t="shared" ca="1" si="9"/>
        <v>15</v>
      </c>
      <c r="G225" t="str">
        <f t="shared" ca="1" si="10"/>
        <v>2. 1-3yr</v>
      </c>
      <c r="H225">
        <f t="shared" si="11"/>
        <v>0</v>
      </c>
    </row>
    <row r="226" spans="1:8" x14ac:dyDescent="0.3">
      <c r="A226">
        <v>1712</v>
      </c>
      <c r="B226" t="s">
        <v>5</v>
      </c>
      <c r="C226" s="1">
        <v>45214</v>
      </c>
      <c r="D226" t="s">
        <v>7</v>
      </c>
      <c r="E226" t="s">
        <v>8</v>
      </c>
      <c r="F226">
        <f t="shared" ca="1" si="9"/>
        <v>34</v>
      </c>
      <c r="G226" t="str">
        <f t="shared" ca="1" si="10"/>
        <v>2. 1-3yr</v>
      </c>
      <c r="H226">
        <f t="shared" si="11"/>
        <v>0</v>
      </c>
    </row>
    <row r="227" spans="1:8" x14ac:dyDescent="0.3">
      <c r="A227">
        <v>1714</v>
      </c>
      <c r="B227" t="s">
        <v>5</v>
      </c>
      <c r="C227" s="1">
        <v>45657</v>
      </c>
      <c r="D227" t="s">
        <v>7</v>
      </c>
      <c r="E227" t="s">
        <v>8</v>
      </c>
      <c r="F227">
        <f t="shared" ca="1" si="9"/>
        <v>19</v>
      </c>
      <c r="G227" t="str">
        <f t="shared" ca="1" si="10"/>
        <v>2. 1-3yr</v>
      </c>
      <c r="H227">
        <f t="shared" si="11"/>
        <v>0</v>
      </c>
    </row>
    <row r="228" spans="1:8" x14ac:dyDescent="0.3">
      <c r="A228">
        <v>1715</v>
      </c>
      <c r="B228" t="s">
        <v>5</v>
      </c>
      <c r="C228" s="1">
        <v>45794</v>
      </c>
      <c r="D228" t="s">
        <v>7</v>
      </c>
      <c r="E228" t="s">
        <v>8</v>
      </c>
      <c r="F228">
        <f t="shared" ca="1" si="9"/>
        <v>15</v>
      </c>
      <c r="G228" t="str">
        <f t="shared" ca="1" si="10"/>
        <v>2. 1-3yr</v>
      </c>
      <c r="H228">
        <f t="shared" si="11"/>
        <v>0</v>
      </c>
    </row>
    <row r="229" spans="1:8" x14ac:dyDescent="0.3">
      <c r="A229">
        <v>1718</v>
      </c>
      <c r="B229" t="s">
        <v>5</v>
      </c>
      <c r="C229" s="1">
        <v>45764</v>
      </c>
      <c r="D229" t="s">
        <v>7</v>
      </c>
      <c r="E229" t="s">
        <v>8</v>
      </c>
      <c r="F229">
        <f t="shared" ca="1" si="9"/>
        <v>16</v>
      </c>
      <c r="G229" t="str">
        <f t="shared" ca="1" si="10"/>
        <v>2. 1-3yr</v>
      </c>
      <c r="H229">
        <f t="shared" si="11"/>
        <v>0</v>
      </c>
    </row>
    <row r="230" spans="1:8" x14ac:dyDescent="0.3">
      <c r="A230">
        <v>1720</v>
      </c>
      <c r="B230" t="s">
        <v>5</v>
      </c>
      <c r="C230" s="1">
        <v>45559</v>
      </c>
      <c r="D230" t="s">
        <v>7</v>
      </c>
      <c r="E230" t="s">
        <v>8</v>
      </c>
      <c r="F230">
        <f t="shared" ca="1" si="9"/>
        <v>22</v>
      </c>
      <c r="G230" t="str">
        <f t="shared" ca="1" si="10"/>
        <v>2. 1-3yr</v>
      </c>
      <c r="H230">
        <f t="shared" si="11"/>
        <v>0</v>
      </c>
    </row>
    <row r="231" spans="1:8" x14ac:dyDescent="0.3">
      <c r="A231">
        <v>1723</v>
      </c>
      <c r="B231" t="s">
        <v>5</v>
      </c>
      <c r="C231" s="1">
        <v>45894</v>
      </c>
      <c r="D231" t="s">
        <v>7</v>
      </c>
      <c r="E231" t="s">
        <v>8</v>
      </c>
      <c r="F231">
        <f t="shared" ca="1" si="9"/>
        <v>11</v>
      </c>
      <c r="G231" t="str">
        <f t="shared" ca="1" si="10"/>
        <v>1. &lt;1yr</v>
      </c>
      <c r="H231">
        <f t="shared" si="11"/>
        <v>0</v>
      </c>
    </row>
    <row r="232" spans="1:8" x14ac:dyDescent="0.3">
      <c r="A232">
        <v>1726</v>
      </c>
      <c r="B232" t="s">
        <v>5</v>
      </c>
      <c r="C232" s="1">
        <v>45677</v>
      </c>
      <c r="D232" t="s">
        <v>7</v>
      </c>
      <c r="E232" t="s">
        <v>8</v>
      </c>
      <c r="F232">
        <f t="shared" ca="1" si="9"/>
        <v>18</v>
      </c>
      <c r="G232" t="str">
        <f t="shared" ca="1" si="10"/>
        <v>2. 1-3yr</v>
      </c>
      <c r="H232">
        <f t="shared" si="11"/>
        <v>0</v>
      </c>
    </row>
    <row r="233" spans="1:8" x14ac:dyDescent="0.3">
      <c r="A233">
        <v>1733</v>
      </c>
      <c r="B233" t="s">
        <v>5</v>
      </c>
      <c r="C233" s="1">
        <v>46136</v>
      </c>
      <c r="D233" t="s">
        <v>7</v>
      </c>
      <c r="E233" t="s">
        <v>8</v>
      </c>
      <c r="F233">
        <f t="shared" ca="1" si="9"/>
        <v>3</v>
      </c>
      <c r="G233" t="str">
        <f t="shared" ca="1" si="10"/>
        <v>1. &lt;1yr</v>
      </c>
      <c r="H233">
        <f t="shared" si="11"/>
        <v>0</v>
      </c>
    </row>
    <row r="234" spans="1:8" x14ac:dyDescent="0.3">
      <c r="A234">
        <v>1737</v>
      </c>
      <c r="B234" t="s">
        <v>5</v>
      </c>
      <c r="C234" s="1">
        <v>45562</v>
      </c>
      <c r="D234" t="s">
        <v>6</v>
      </c>
      <c r="E234" s="1">
        <v>45923</v>
      </c>
      <c r="F234">
        <f t="shared" ca="1" si="9"/>
        <v>11</v>
      </c>
      <c r="G234" t="str">
        <f t="shared" ca="1" si="10"/>
        <v>1. &lt;1yr</v>
      </c>
      <c r="H234">
        <f t="shared" si="11"/>
        <v>1</v>
      </c>
    </row>
    <row r="235" spans="1:8" x14ac:dyDescent="0.3">
      <c r="A235">
        <v>1740</v>
      </c>
      <c r="B235" t="s">
        <v>5</v>
      </c>
      <c r="C235" s="1">
        <v>46171</v>
      </c>
      <c r="D235" t="s">
        <v>6</v>
      </c>
      <c r="E235" s="1">
        <v>46201</v>
      </c>
      <c r="F235">
        <f t="shared" ca="1" si="9"/>
        <v>0</v>
      </c>
      <c r="G235" t="str">
        <f t="shared" ca="1" si="10"/>
        <v>1. &lt;1yr</v>
      </c>
      <c r="H235">
        <f t="shared" si="11"/>
        <v>1</v>
      </c>
    </row>
    <row r="236" spans="1:8" x14ac:dyDescent="0.3">
      <c r="A236">
        <v>1753</v>
      </c>
      <c r="B236" t="s">
        <v>5</v>
      </c>
      <c r="C236" s="1">
        <v>45975</v>
      </c>
      <c r="D236" t="s">
        <v>6</v>
      </c>
      <c r="E236" s="1">
        <v>46005</v>
      </c>
      <c r="F236">
        <f t="shared" ca="1" si="9"/>
        <v>1</v>
      </c>
      <c r="G236" t="str">
        <f t="shared" ca="1" si="10"/>
        <v>1. &lt;1yr</v>
      </c>
      <c r="H236">
        <f t="shared" si="11"/>
        <v>1</v>
      </c>
    </row>
    <row r="237" spans="1:8" x14ac:dyDescent="0.3">
      <c r="A237">
        <v>1755</v>
      </c>
      <c r="B237" t="s">
        <v>5</v>
      </c>
      <c r="C237" s="1">
        <v>44820</v>
      </c>
      <c r="D237" t="s">
        <v>7</v>
      </c>
      <c r="E237" t="s">
        <v>8</v>
      </c>
      <c r="F237">
        <f t="shared" ca="1" si="9"/>
        <v>47</v>
      </c>
      <c r="G237" t="str">
        <f t="shared" ca="1" si="10"/>
        <v>3. 3-5yr</v>
      </c>
      <c r="H237">
        <f t="shared" si="11"/>
        <v>0</v>
      </c>
    </row>
    <row r="238" spans="1:8" x14ac:dyDescent="0.3">
      <c r="A238">
        <v>1756</v>
      </c>
      <c r="B238" t="s">
        <v>5</v>
      </c>
      <c r="C238" s="1">
        <v>45337</v>
      </c>
      <c r="D238" t="s">
        <v>7</v>
      </c>
      <c r="E238" t="s">
        <v>8</v>
      </c>
      <c r="F238">
        <f t="shared" ca="1" si="9"/>
        <v>30</v>
      </c>
      <c r="G238" t="str">
        <f t="shared" ca="1" si="10"/>
        <v>2. 1-3yr</v>
      </c>
      <c r="H238">
        <f t="shared" si="11"/>
        <v>0</v>
      </c>
    </row>
    <row r="239" spans="1:8" x14ac:dyDescent="0.3">
      <c r="A239">
        <v>1764</v>
      </c>
      <c r="B239" t="s">
        <v>5</v>
      </c>
      <c r="C239" s="1">
        <v>44314</v>
      </c>
      <c r="D239" t="s">
        <v>7</v>
      </c>
      <c r="E239" t="s">
        <v>8</v>
      </c>
      <c r="F239">
        <f t="shared" ca="1" si="9"/>
        <v>63</v>
      </c>
      <c r="G239" t="str">
        <f t="shared" ca="1" si="10"/>
        <v>4. 5+yr</v>
      </c>
      <c r="H239">
        <f t="shared" si="11"/>
        <v>0</v>
      </c>
    </row>
    <row r="240" spans="1:8" x14ac:dyDescent="0.3">
      <c r="A240">
        <v>1766</v>
      </c>
      <c r="B240" t="s">
        <v>5</v>
      </c>
      <c r="C240" s="1">
        <v>45062</v>
      </c>
      <c r="D240" t="s">
        <v>6</v>
      </c>
      <c r="E240" s="1">
        <v>45524</v>
      </c>
      <c r="F240">
        <f t="shared" ca="1" si="9"/>
        <v>15</v>
      </c>
      <c r="G240" t="str">
        <f t="shared" ca="1" si="10"/>
        <v>2. 1-3yr</v>
      </c>
      <c r="H240">
        <f t="shared" si="11"/>
        <v>1</v>
      </c>
    </row>
    <row r="241" spans="1:8" x14ac:dyDescent="0.3">
      <c r="A241">
        <v>1768</v>
      </c>
      <c r="B241" t="s">
        <v>5</v>
      </c>
      <c r="C241" s="1">
        <v>44944</v>
      </c>
      <c r="D241" t="s">
        <v>7</v>
      </c>
      <c r="E241" t="s">
        <v>8</v>
      </c>
      <c r="F241">
        <f t="shared" ca="1" si="9"/>
        <v>43</v>
      </c>
      <c r="G241" t="str">
        <f t="shared" ca="1" si="10"/>
        <v>3. 3-5yr</v>
      </c>
      <c r="H241">
        <f t="shared" si="11"/>
        <v>0</v>
      </c>
    </row>
    <row r="242" spans="1:8" x14ac:dyDescent="0.3">
      <c r="A242">
        <v>1771</v>
      </c>
      <c r="B242" t="s">
        <v>5</v>
      </c>
      <c r="C242" s="1">
        <v>45648</v>
      </c>
      <c r="D242" t="s">
        <v>7</v>
      </c>
      <c r="E242" t="s">
        <v>8</v>
      </c>
      <c r="F242">
        <f t="shared" ca="1" si="9"/>
        <v>19</v>
      </c>
      <c r="G242" t="str">
        <f t="shared" ca="1" si="10"/>
        <v>2. 1-3yr</v>
      </c>
      <c r="H242">
        <f t="shared" si="11"/>
        <v>0</v>
      </c>
    </row>
    <row r="243" spans="1:8" x14ac:dyDescent="0.3">
      <c r="A243">
        <v>1774</v>
      </c>
      <c r="B243" t="s">
        <v>5</v>
      </c>
      <c r="C243" s="1">
        <v>46201</v>
      </c>
      <c r="D243" t="s">
        <v>7</v>
      </c>
      <c r="E243" t="s">
        <v>8</v>
      </c>
      <c r="F243">
        <f t="shared" ca="1" si="9"/>
        <v>1</v>
      </c>
      <c r="G243" t="str">
        <f t="shared" ca="1" si="10"/>
        <v>1. &lt;1yr</v>
      </c>
      <c r="H243">
        <f t="shared" si="11"/>
        <v>0</v>
      </c>
    </row>
    <row r="244" spans="1:8" x14ac:dyDescent="0.3">
      <c r="A244">
        <v>1784</v>
      </c>
      <c r="B244" t="s">
        <v>5</v>
      </c>
      <c r="C244" s="1">
        <v>45997</v>
      </c>
      <c r="D244" t="s">
        <v>7</v>
      </c>
      <c r="E244" t="s">
        <v>8</v>
      </c>
      <c r="F244">
        <f t="shared" ca="1" si="9"/>
        <v>8</v>
      </c>
      <c r="G244" t="str">
        <f t="shared" ca="1" si="10"/>
        <v>1. &lt;1yr</v>
      </c>
      <c r="H244">
        <f t="shared" si="11"/>
        <v>0</v>
      </c>
    </row>
    <row r="245" spans="1:8" x14ac:dyDescent="0.3">
      <c r="A245">
        <v>1789</v>
      </c>
      <c r="B245" t="s">
        <v>5</v>
      </c>
      <c r="C245" s="1">
        <v>44307</v>
      </c>
      <c r="D245" t="s">
        <v>7</v>
      </c>
      <c r="E245" t="s">
        <v>8</v>
      </c>
      <c r="F245">
        <f t="shared" ca="1" si="9"/>
        <v>63</v>
      </c>
      <c r="G245" t="str">
        <f t="shared" ca="1" si="10"/>
        <v>4. 5+yr</v>
      </c>
      <c r="H245">
        <f t="shared" si="11"/>
        <v>0</v>
      </c>
    </row>
    <row r="246" spans="1:8" x14ac:dyDescent="0.3">
      <c r="A246">
        <v>1794</v>
      </c>
      <c r="B246" t="s">
        <v>5</v>
      </c>
      <c r="C246" s="1">
        <v>44237</v>
      </c>
      <c r="D246" t="s">
        <v>7</v>
      </c>
      <c r="E246" t="s">
        <v>8</v>
      </c>
      <c r="F246">
        <f t="shared" ca="1" si="9"/>
        <v>66</v>
      </c>
      <c r="G246" t="str">
        <f t="shared" ca="1" si="10"/>
        <v>4. 5+yr</v>
      </c>
      <c r="H246">
        <f t="shared" si="11"/>
        <v>0</v>
      </c>
    </row>
    <row r="247" spans="1:8" x14ac:dyDescent="0.3">
      <c r="A247">
        <v>1799</v>
      </c>
      <c r="B247" t="s">
        <v>5</v>
      </c>
      <c r="C247" s="1">
        <v>45323</v>
      </c>
      <c r="D247" t="s">
        <v>7</v>
      </c>
      <c r="E247" t="s">
        <v>8</v>
      </c>
      <c r="F247">
        <f t="shared" ca="1" si="9"/>
        <v>30</v>
      </c>
      <c r="G247" t="str">
        <f t="shared" ca="1" si="10"/>
        <v>2. 1-3yr</v>
      </c>
      <c r="H247">
        <f t="shared" si="11"/>
        <v>0</v>
      </c>
    </row>
    <row r="248" spans="1:8" x14ac:dyDescent="0.3">
      <c r="A248">
        <v>1801</v>
      </c>
      <c r="B248" t="s">
        <v>5</v>
      </c>
      <c r="C248" s="1">
        <v>45527</v>
      </c>
      <c r="D248" t="s">
        <v>7</v>
      </c>
      <c r="E248" t="s">
        <v>8</v>
      </c>
      <c r="F248">
        <f t="shared" ca="1" si="9"/>
        <v>23</v>
      </c>
      <c r="G248" t="str">
        <f t="shared" ca="1" si="10"/>
        <v>2. 1-3yr</v>
      </c>
      <c r="H248">
        <f t="shared" si="11"/>
        <v>0</v>
      </c>
    </row>
    <row r="249" spans="1:8" x14ac:dyDescent="0.3">
      <c r="A249">
        <v>1805</v>
      </c>
      <c r="B249" t="s">
        <v>5</v>
      </c>
      <c r="C249" s="1">
        <v>45327</v>
      </c>
      <c r="D249" t="s">
        <v>7</v>
      </c>
      <c r="E249" t="s">
        <v>8</v>
      </c>
      <c r="F249">
        <f t="shared" ca="1" si="9"/>
        <v>30</v>
      </c>
      <c r="G249" t="str">
        <f t="shared" ca="1" si="10"/>
        <v>2. 1-3yr</v>
      </c>
      <c r="H249">
        <f t="shared" si="11"/>
        <v>0</v>
      </c>
    </row>
    <row r="250" spans="1:8" x14ac:dyDescent="0.3">
      <c r="A250">
        <v>1811</v>
      </c>
      <c r="B250" t="s">
        <v>5</v>
      </c>
      <c r="C250" s="1">
        <v>44613</v>
      </c>
      <c r="D250" t="s">
        <v>7</v>
      </c>
      <c r="E250" t="s">
        <v>8</v>
      </c>
      <c r="F250">
        <f t="shared" ca="1" si="9"/>
        <v>53</v>
      </c>
      <c r="G250" t="str">
        <f t="shared" ca="1" si="10"/>
        <v>3. 3-5yr</v>
      </c>
      <c r="H250">
        <f t="shared" si="11"/>
        <v>0</v>
      </c>
    </row>
    <row r="251" spans="1:8" x14ac:dyDescent="0.3">
      <c r="A251">
        <v>1813</v>
      </c>
      <c r="B251" t="s">
        <v>5</v>
      </c>
      <c r="C251" s="1">
        <v>45825</v>
      </c>
      <c r="D251" t="s">
        <v>7</v>
      </c>
      <c r="E251" t="s">
        <v>8</v>
      </c>
      <c r="F251">
        <f t="shared" ca="1" si="9"/>
        <v>14</v>
      </c>
      <c r="G251" t="str">
        <f t="shared" ca="1" si="10"/>
        <v>2. 1-3yr</v>
      </c>
      <c r="H251">
        <f t="shared" si="11"/>
        <v>0</v>
      </c>
    </row>
    <row r="252" spans="1:8" x14ac:dyDescent="0.3">
      <c r="A252">
        <v>1823</v>
      </c>
      <c r="B252" t="s">
        <v>5</v>
      </c>
      <c r="C252" s="1">
        <v>45017</v>
      </c>
      <c r="D252" t="s">
        <v>7</v>
      </c>
      <c r="E252" t="s">
        <v>8</v>
      </c>
      <c r="F252">
        <f t="shared" ca="1" si="9"/>
        <v>40</v>
      </c>
      <c r="G252" t="str">
        <f t="shared" ca="1" si="10"/>
        <v>3. 3-5yr</v>
      </c>
      <c r="H252">
        <f t="shared" si="11"/>
        <v>0</v>
      </c>
    </row>
    <row r="253" spans="1:8" x14ac:dyDescent="0.3">
      <c r="A253">
        <v>1824</v>
      </c>
      <c r="B253" t="s">
        <v>5</v>
      </c>
      <c r="C253" s="1">
        <v>45832</v>
      </c>
      <c r="D253" t="s">
        <v>7</v>
      </c>
      <c r="E253" t="s">
        <v>8</v>
      </c>
      <c r="F253">
        <f t="shared" ca="1" si="9"/>
        <v>13</v>
      </c>
      <c r="G253" t="str">
        <f t="shared" ca="1" si="10"/>
        <v>2. 1-3yr</v>
      </c>
      <c r="H253">
        <f t="shared" si="11"/>
        <v>0</v>
      </c>
    </row>
    <row r="254" spans="1:8" x14ac:dyDescent="0.3">
      <c r="A254">
        <v>1825</v>
      </c>
      <c r="B254" t="s">
        <v>5</v>
      </c>
      <c r="C254" s="1">
        <v>44734</v>
      </c>
      <c r="D254" t="s">
        <v>7</v>
      </c>
      <c r="E254" t="s">
        <v>8</v>
      </c>
      <c r="F254">
        <f t="shared" ca="1" si="9"/>
        <v>49</v>
      </c>
      <c r="G254" t="str">
        <f t="shared" ca="1" si="10"/>
        <v>3. 3-5yr</v>
      </c>
      <c r="H254">
        <f t="shared" si="11"/>
        <v>0</v>
      </c>
    </row>
    <row r="255" spans="1:8" x14ac:dyDescent="0.3">
      <c r="A255">
        <v>1831</v>
      </c>
      <c r="B255" t="s">
        <v>5</v>
      </c>
      <c r="C255" s="1">
        <v>44836</v>
      </c>
      <c r="D255" t="s">
        <v>7</v>
      </c>
      <c r="E255" t="s">
        <v>8</v>
      </c>
      <c r="F255">
        <f t="shared" ca="1" si="9"/>
        <v>46</v>
      </c>
      <c r="G255" t="str">
        <f t="shared" ca="1" si="10"/>
        <v>3. 3-5yr</v>
      </c>
      <c r="H255">
        <f t="shared" si="11"/>
        <v>0</v>
      </c>
    </row>
    <row r="256" spans="1:8" x14ac:dyDescent="0.3">
      <c r="A256">
        <v>1832</v>
      </c>
      <c r="B256" t="s">
        <v>5</v>
      </c>
      <c r="C256" s="1">
        <v>45452</v>
      </c>
      <c r="D256" t="s">
        <v>7</v>
      </c>
      <c r="E256" t="s">
        <v>8</v>
      </c>
      <c r="F256">
        <f t="shared" ca="1" si="9"/>
        <v>26</v>
      </c>
      <c r="G256" t="str">
        <f t="shared" ca="1" si="10"/>
        <v>2. 1-3yr</v>
      </c>
      <c r="H256">
        <f t="shared" si="11"/>
        <v>0</v>
      </c>
    </row>
    <row r="257" spans="1:8" x14ac:dyDescent="0.3">
      <c r="A257">
        <v>1837</v>
      </c>
      <c r="B257" t="s">
        <v>5</v>
      </c>
      <c r="C257" s="1">
        <v>45348</v>
      </c>
      <c r="D257" t="s">
        <v>7</v>
      </c>
      <c r="E257" t="s">
        <v>8</v>
      </c>
      <c r="F257">
        <f t="shared" ca="1" si="9"/>
        <v>29</v>
      </c>
      <c r="G257" t="str">
        <f t="shared" ca="1" si="10"/>
        <v>2. 1-3yr</v>
      </c>
      <c r="H257">
        <f t="shared" si="11"/>
        <v>0</v>
      </c>
    </row>
    <row r="258" spans="1:8" x14ac:dyDescent="0.3">
      <c r="A258">
        <v>1838</v>
      </c>
      <c r="B258" t="s">
        <v>5</v>
      </c>
      <c r="C258" s="1">
        <v>45815</v>
      </c>
      <c r="D258" t="s">
        <v>6</v>
      </c>
      <c r="E258" s="1">
        <v>46139</v>
      </c>
      <c r="F258">
        <f t="shared" ca="1" si="9"/>
        <v>10</v>
      </c>
      <c r="G258" t="str">
        <f t="shared" ca="1" si="10"/>
        <v>1. &lt;1yr</v>
      </c>
      <c r="H258">
        <f t="shared" si="11"/>
        <v>1</v>
      </c>
    </row>
    <row r="259" spans="1:8" x14ac:dyDescent="0.3">
      <c r="A259">
        <v>1843</v>
      </c>
      <c r="B259" t="s">
        <v>5</v>
      </c>
      <c r="C259" s="1">
        <v>45499</v>
      </c>
      <c r="D259" t="s">
        <v>7</v>
      </c>
      <c r="E259" t="s">
        <v>8</v>
      </c>
      <c r="F259">
        <f t="shared" ref="F259:F322" ca="1" si="12">DATEDIF(C259, IF(OR(E259="",E259="NULL"), TODAY(), E259), "m")</f>
        <v>24</v>
      </c>
      <c r="G259" t="str">
        <f t="shared" ref="G259:G322" ca="1" si="13">IF(F259&lt;12,"1. &lt;1yr",IF(F259&lt;36,"2. 1-3yr",IF(F259&lt;60,"3. 3-5yr","4. 5+yr")))</f>
        <v>2. 1-3yr</v>
      </c>
      <c r="H259">
        <f t="shared" ref="H259:H322" si="14">IF(D259="Yes",1,0)</f>
        <v>0</v>
      </c>
    </row>
    <row r="260" spans="1:8" x14ac:dyDescent="0.3">
      <c r="A260">
        <v>1847</v>
      </c>
      <c r="B260" t="s">
        <v>5</v>
      </c>
      <c r="C260" s="1">
        <v>46077</v>
      </c>
      <c r="D260" t="s">
        <v>6</v>
      </c>
      <c r="E260" s="1">
        <v>46107</v>
      </c>
      <c r="F260">
        <f t="shared" ca="1" si="12"/>
        <v>1</v>
      </c>
      <c r="G260" t="str">
        <f t="shared" ca="1" si="13"/>
        <v>1. &lt;1yr</v>
      </c>
      <c r="H260">
        <f t="shared" si="14"/>
        <v>1</v>
      </c>
    </row>
    <row r="261" spans="1:8" x14ac:dyDescent="0.3">
      <c r="A261">
        <v>1853</v>
      </c>
      <c r="B261" t="s">
        <v>5</v>
      </c>
      <c r="C261" s="1">
        <v>45334</v>
      </c>
      <c r="D261" t="s">
        <v>7</v>
      </c>
      <c r="E261" t="s">
        <v>8</v>
      </c>
      <c r="F261">
        <f t="shared" ca="1" si="12"/>
        <v>30</v>
      </c>
      <c r="G261" t="str">
        <f t="shared" ca="1" si="13"/>
        <v>2. 1-3yr</v>
      </c>
      <c r="H261">
        <f t="shared" si="14"/>
        <v>0</v>
      </c>
    </row>
    <row r="262" spans="1:8" x14ac:dyDescent="0.3">
      <c r="A262">
        <v>1858</v>
      </c>
      <c r="B262" t="s">
        <v>5</v>
      </c>
      <c r="C262" s="1">
        <v>44355</v>
      </c>
      <c r="D262" t="s">
        <v>7</v>
      </c>
      <c r="E262" t="s">
        <v>8</v>
      </c>
      <c r="F262">
        <f t="shared" ca="1" si="12"/>
        <v>62</v>
      </c>
      <c r="G262" t="str">
        <f t="shared" ca="1" si="13"/>
        <v>4. 5+yr</v>
      </c>
      <c r="H262">
        <f t="shared" si="14"/>
        <v>0</v>
      </c>
    </row>
    <row r="263" spans="1:8" x14ac:dyDescent="0.3">
      <c r="A263">
        <v>1864</v>
      </c>
      <c r="B263" t="s">
        <v>5</v>
      </c>
      <c r="C263" s="1">
        <v>45576</v>
      </c>
      <c r="D263" t="s">
        <v>7</v>
      </c>
      <c r="E263" t="s">
        <v>8</v>
      </c>
      <c r="F263">
        <f t="shared" ca="1" si="12"/>
        <v>22</v>
      </c>
      <c r="G263" t="str">
        <f t="shared" ca="1" si="13"/>
        <v>2. 1-3yr</v>
      </c>
      <c r="H263">
        <f t="shared" si="14"/>
        <v>0</v>
      </c>
    </row>
    <row r="264" spans="1:8" x14ac:dyDescent="0.3">
      <c r="A264">
        <v>1865</v>
      </c>
      <c r="B264" t="s">
        <v>5</v>
      </c>
      <c r="C264" s="1">
        <v>45605</v>
      </c>
      <c r="D264" t="s">
        <v>6</v>
      </c>
      <c r="E264" s="1">
        <v>45802</v>
      </c>
      <c r="F264">
        <f t="shared" ca="1" si="12"/>
        <v>6</v>
      </c>
      <c r="G264" t="str">
        <f t="shared" ca="1" si="13"/>
        <v>1. &lt;1yr</v>
      </c>
      <c r="H264">
        <f t="shared" si="14"/>
        <v>1</v>
      </c>
    </row>
    <row r="265" spans="1:8" x14ac:dyDescent="0.3">
      <c r="A265">
        <v>1001</v>
      </c>
      <c r="B265" t="s">
        <v>9</v>
      </c>
      <c r="C265" s="1">
        <v>46136</v>
      </c>
      <c r="D265" t="s">
        <v>6</v>
      </c>
      <c r="E265" s="1">
        <v>46166</v>
      </c>
      <c r="F265">
        <f t="shared" ca="1" si="12"/>
        <v>1</v>
      </c>
      <c r="G265" t="str">
        <f t="shared" ca="1" si="13"/>
        <v>1. &lt;1yr</v>
      </c>
      <c r="H265">
        <f t="shared" si="14"/>
        <v>1</v>
      </c>
    </row>
    <row r="266" spans="1:8" x14ac:dyDescent="0.3">
      <c r="A266">
        <v>1011</v>
      </c>
      <c r="B266" t="s">
        <v>9</v>
      </c>
      <c r="C266" s="1">
        <v>45555</v>
      </c>
      <c r="D266" t="s">
        <v>7</v>
      </c>
      <c r="E266" t="s">
        <v>8</v>
      </c>
      <c r="F266">
        <f t="shared" ca="1" si="12"/>
        <v>22</v>
      </c>
      <c r="G266" t="str">
        <f t="shared" ca="1" si="13"/>
        <v>2. 1-3yr</v>
      </c>
      <c r="H266">
        <f t="shared" si="14"/>
        <v>0</v>
      </c>
    </row>
    <row r="267" spans="1:8" x14ac:dyDescent="0.3">
      <c r="A267">
        <v>1012</v>
      </c>
      <c r="B267" t="s">
        <v>9</v>
      </c>
      <c r="C267" s="1">
        <v>45555</v>
      </c>
      <c r="D267" t="s">
        <v>6</v>
      </c>
      <c r="E267" s="1">
        <v>45772</v>
      </c>
      <c r="F267">
        <f t="shared" ca="1" si="12"/>
        <v>7</v>
      </c>
      <c r="G267" t="str">
        <f t="shared" ca="1" si="13"/>
        <v>1. &lt;1yr</v>
      </c>
      <c r="H267">
        <f t="shared" si="14"/>
        <v>1</v>
      </c>
    </row>
    <row r="268" spans="1:8" x14ac:dyDescent="0.3">
      <c r="A268">
        <v>1015</v>
      </c>
      <c r="B268" t="s">
        <v>9</v>
      </c>
      <c r="C268" s="1">
        <v>45597</v>
      </c>
      <c r="D268" t="s">
        <v>7</v>
      </c>
      <c r="E268" t="s">
        <v>8</v>
      </c>
      <c r="F268">
        <f t="shared" ca="1" si="12"/>
        <v>21</v>
      </c>
      <c r="G268" t="str">
        <f t="shared" ca="1" si="13"/>
        <v>2. 1-3yr</v>
      </c>
      <c r="H268">
        <f t="shared" si="14"/>
        <v>0</v>
      </c>
    </row>
    <row r="269" spans="1:8" x14ac:dyDescent="0.3">
      <c r="A269">
        <v>1019</v>
      </c>
      <c r="B269" t="s">
        <v>9</v>
      </c>
      <c r="C269" s="1">
        <v>44547</v>
      </c>
      <c r="D269" t="s">
        <v>7</v>
      </c>
      <c r="E269" t="s">
        <v>8</v>
      </c>
      <c r="F269">
        <f t="shared" ca="1" si="12"/>
        <v>56</v>
      </c>
      <c r="G269" t="str">
        <f t="shared" ca="1" si="13"/>
        <v>3. 3-5yr</v>
      </c>
      <c r="H269">
        <f t="shared" si="14"/>
        <v>0</v>
      </c>
    </row>
    <row r="270" spans="1:8" x14ac:dyDescent="0.3">
      <c r="A270">
        <v>1041</v>
      </c>
      <c r="B270" t="s">
        <v>9</v>
      </c>
      <c r="C270" s="1">
        <v>46044</v>
      </c>
      <c r="D270" t="s">
        <v>6</v>
      </c>
      <c r="E270" s="1">
        <v>46074</v>
      </c>
      <c r="F270">
        <f t="shared" ca="1" si="12"/>
        <v>0</v>
      </c>
      <c r="G270" t="str">
        <f t="shared" ca="1" si="13"/>
        <v>1. &lt;1yr</v>
      </c>
      <c r="H270">
        <f t="shared" si="14"/>
        <v>1</v>
      </c>
    </row>
    <row r="271" spans="1:8" x14ac:dyDescent="0.3">
      <c r="A271">
        <v>1056</v>
      </c>
      <c r="B271" t="s">
        <v>9</v>
      </c>
      <c r="C271" s="1">
        <v>44617</v>
      </c>
      <c r="D271" t="s">
        <v>7</v>
      </c>
      <c r="E271" t="s">
        <v>8</v>
      </c>
      <c r="F271">
        <f t="shared" ca="1" si="12"/>
        <v>53</v>
      </c>
      <c r="G271" t="str">
        <f t="shared" ca="1" si="13"/>
        <v>3. 3-5yr</v>
      </c>
      <c r="H271">
        <f t="shared" si="14"/>
        <v>0</v>
      </c>
    </row>
    <row r="272" spans="1:8" x14ac:dyDescent="0.3">
      <c r="A272">
        <v>1057</v>
      </c>
      <c r="B272" t="s">
        <v>9</v>
      </c>
      <c r="C272" s="1">
        <v>46000</v>
      </c>
      <c r="D272" t="s">
        <v>6</v>
      </c>
      <c r="E272" s="1">
        <v>46030</v>
      </c>
      <c r="F272">
        <f t="shared" ca="1" si="12"/>
        <v>0</v>
      </c>
      <c r="G272" t="str">
        <f t="shared" ca="1" si="13"/>
        <v>1. &lt;1yr</v>
      </c>
      <c r="H272">
        <f t="shared" si="14"/>
        <v>1</v>
      </c>
    </row>
    <row r="273" spans="1:8" x14ac:dyDescent="0.3">
      <c r="A273">
        <v>1058</v>
      </c>
      <c r="B273" t="s">
        <v>9</v>
      </c>
      <c r="C273" s="1">
        <v>45982</v>
      </c>
      <c r="D273" t="s">
        <v>7</v>
      </c>
      <c r="E273" t="s">
        <v>8</v>
      </c>
      <c r="F273">
        <f t="shared" ca="1" si="12"/>
        <v>8</v>
      </c>
      <c r="G273" t="str">
        <f t="shared" ca="1" si="13"/>
        <v>1. &lt;1yr</v>
      </c>
      <c r="H273">
        <f t="shared" si="14"/>
        <v>0</v>
      </c>
    </row>
    <row r="274" spans="1:8" x14ac:dyDescent="0.3">
      <c r="A274">
        <v>1074</v>
      </c>
      <c r="B274" t="s">
        <v>9</v>
      </c>
      <c r="C274" s="1">
        <v>45473</v>
      </c>
      <c r="D274" t="s">
        <v>7</v>
      </c>
      <c r="E274" t="s">
        <v>8</v>
      </c>
      <c r="F274">
        <f t="shared" ca="1" si="12"/>
        <v>25</v>
      </c>
      <c r="G274" t="str">
        <f t="shared" ca="1" si="13"/>
        <v>2. 1-3yr</v>
      </c>
      <c r="H274">
        <f t="shared" si="14"/>
        <v>0</v>
      </c>
    </row>
    <row r="275" spans="1:8" x14ac:dyDescent="0.3">
      <c r="A275">
        <v>1094</v>
      </c>
      <c r="B275" t="s">
        <v>9</v>
      </c>
      <c r="C275" s="1">
        <v>45201</v>
      </c>
      <c r="D275" t="s">
        <v>7</v>
      </c>
      <c r="E275" t="s">
        <v>8</v>
      </c>
      <c r="F275">
        <f t="shared" ca="1" si="12"/>
        <v>34</v>
      </c>
      <c r="G275" t="str">
        <f t="shared" ca="1" si="13"/>
        <v>2. 1-3yr</v>
      </c>
      <c r="H275">
        <f t="shared" si="14"/>
        <v>0</v>
      </c>
    </row>
    <row r="276" spans="1:8" x14ac:dyDescent="0.3">
      <c r="A276">
        <v>1108</v>
      </c>
      <c r="B276" t="s">
        <v>9</v>
      </c>
      <c r="C276" s="1">
        <v>45880</v>
      </c>
      <c r="D276" t="s">
        <v>7</v>
      </c>
      <c r="E276" t="s">
        <v>8</v>
      </c>
      <c r="F276">
        <f t="shared" ca="1" si="12"/>
        <v>12</v>
      </c>
      <c r="G276" t="str">
        <f t="shared" ca="1" si="13"/>
        <v>2. 1-3yr</v>
      </c>
      <c r="H276">
        <f t="shared" si="14"/>
        <v>0</v>
      </c>
    </row>
    <row r="277" spans="1:8" x14ac:dyDescent="0.3">
      <c r="A277">
        <v>1117</v>
      </c>
      <c r="B277" t="s">
        <v>9</v>
      </c>
      <c r="C277" s="1">
        <v>45438</v>
      </c>
      <c r="D277" t="s">
        <v>7</v>
      </c>
      <c r="E277" t="s">
        <v>8</v>
      </c>
      <c r="F277">
        <f t="shared" ca="1" si="12"/>
        <v>26</v>
      </c>
      <c r="G277" t="str">
        <f t="shared" ca="1" si="13"/>
        <v>2. 1-3yr</v>
      </c>
      <c r="H277">
        <f t="shared" si="14"/>
        <v>0</v>
      </c>
    </row>
    <row r="278" spans="1:8" x14ac:dyDescent="0.3">
      <c r="A278">
        <v>1122</v>
      </c>
      <c r="B278" t="s">
        <v>9</v>
      </c>
      <c r="C278" s="1">
        <v>45656</v>
      </c>
      <c r="D278" t="s">
        <v>7</v>
      </c>
      <c r="E278" t="s">
        <v>8</v>
      </c>
      <c r="F278">
        <f t="shared" ca="1" si="12"/>
        <v>19</v>
      </c>
      <c r="G278" t="str">
        <f t="shared" ca="1" si="13"/>
        <v>2. 1-3yr</v>
      </c>
      <c r="H278">
        <f t="shared" si="14"/>
        <v>0</v>
      </c>
    </row>
    <row r="279" spans="1:8" x14ac:dyDescent="0.3">
      <c r="A279">
        <v>1125</v>
      </c>
      <c r="B279" t="s">
        <v>9</v>
      </c>
      <c r="C279" s="1">
        <v>44985</v>
      </c>
      <c r="D279" t="s">
        <v>7</v>
      </c>
      <c r="E279" t="s">
        <v>8</v>
      </c>
      <c r="F279">
        <f t="shared" ca="1" si="12"/>
        <v>41</v>
      </c>
      <c r="G279" t="str">
        <f t="shared" ca="1" si="13"/>
        <v>3. 3-5yr</v>
      </c>
      <c r="H279">
        <f t="shared" si="14"/>
        <v>0</v>
      </c>
    </row>
    <row r="280" spans="1:8" x14ac:dyDescent="0.3">
      <c r="A280">
        <v>1127</v>
      </c>
      <c r="B280" t="s">
        <v>9</v>
      </c>
      <c r="C280" s="1">
        <v>45875</v>
      </c>
      <c r="D280" t="s">
        <v>6</v>
      </c>
      <c r="E280" s="1">
        <v>45905</v>
      </c>
      <c r="F280">
        <f t="shared" ca="1" si="12"/>
        <v>0</v>
      </c>
      <c r="G280" t="str">
        <f t="shared" ca="1" si="13"/>
        <v>1. &lt;1yr</v>
      </c>
      <c r="H280">
        <f t="shared" si="14"/>
        <v>1</v>
      </c>
    </row>
    <row r="281" spans="1:8" x14ac:dyDescent="0.3">
      <c r="A281">
        <v>1140</v>
      </c>
      <c r="B281" t="s">
        <v>9</v>
      </c>
      <c r="C281" s="1">
        <v>44610</v>
      </c>
      <c r="D281" t="s">
        <v>6</v>
      </c>
      <c r="E281" s="1">
        <v>45148</v>
      </c>
      <c r="F281">
        <f t="shared" ca="1" si="12"/>
        <v>17</v>
      </c>
      <c r="G281" t="str">
        <f t="shared" ca="1" si="13"/>
        <v>2. 1-3yr</v>
      </c>
      <c r="H281">
        <f t="shared" si="14"/>
        <v>1</v>
      </c>
    </row>
    <row r="282" spans="1:8" x14ac:dyDescent="0.3">
      <c r="A282">
        <v>1145</v>
      </c>
      <c r="B282" t="s">
        <v>9</v>
      </c>
      <c r="C282" s="1">
        <v>45326</v>
      </c>
      <c r="D282" t="s">
        <v>7</v>
      </c>
      <c r="E282" t="s">
        <v>8</v>
      </c>
      <c r="F282">
        <f t="shared" ca="1" si="12"/>
        <v>30</v>
      </c>
      <c r="G282" t="str">
        <f t="shared" ca="1" si="13"/>
        <v>2. 1-3yr</v>
      </c>
      <c r="H282">
        <f t="shared" si="14"/>
        <v>0</v>
      </c>
    </row>
    <row r="283" spans="1:8" x14ac:dyDescent="0.3">
      <c r="A283">
        <v>1147</v>
      </c>
      <c r="B283" t="s">
        <v>9</v>
      </c>
      <c r="C283" s="1">
        <v>45570</v>
      </c>
      <c r="D283" t="s">
        <v>7</v>
      </c>
      <c r="E283" t="s">
        <v>8</v>
      </c>
      <c r="F283">
        <f t="shared" ca="1" si="12"/>
        <v>22</v>
      </c>
      <c r="G283" t="str">
        <f t="shared" ca="1" si="13"/>
        <v>2. 1-3yr</v>
      </c>
      <c r="H283">
        <f t="shared" si="14"/>
        <v>0</v>
      </c>
    </row>
    <row r="284" spans="1:8" x14ac:dyDescent="0.3">
      <c r="A284">
        <v>1152</v>
      </c>
      <c r="B284" t="s">
        <v>9</v>
      </c>
      <c r="C284" s="1">
        <v>45400</v>
      </c>
      <c r="D284" t="s">
        <v>6</v>
      </c>
      <c r="E284" s="1">
        <v>45838</v>
      </c>
      <c r="F284">
        <f t="shared" ca="1" si="12"/>
        <v>14</v>
      </c>
      <c r="G284" t="str">
        <f t="shared" ca="1" si="13"/>
        <v>2. 1-3yr</v>
      </c>
      <c r="H284">
        <f t="shared" si="14"/>
        <v>1</v>
      </c>
    </row>
    <row r="285" spans="1:8" x14ac:dyDescent="0.3">
      <c r="A285">
        <v>1155</v>
      </c>
      <c r="B285" t="s">
        <v>9</v>
      </c>
      <c r="C285" s="1">
        <v>44363</v>
      </c>
      <c r="D285" t="s">
        <v>7</v>
      </c>
      <c r="E285" t="s">
        <v>8</v>
      </c>
      <c r="F285">
        <f t="shared" ca="1" si="12"/>
        <v>62</v>
      </c>
      <c r="G285" t="str">
        <f t="shared" ca="1" si="13"/>
        <v>4. 5+yr</v>
      </c>
      <c r="H285">
        <f t="shared" si="14"/>
        <v>0</v>
      </c>
    </row>
    <row r="286" spans="1:8" x14ac:dyDescent="0.3">
      <c r="A286">
        <v>1161</v>
      </c>
      <c r="B286" t="s">
        <v>9</v>
      </c>
      <c r="C286" s="1">
        <v>44873</v>
      </c>
      <c r="D286" t="s">
        <v>6</v>
      </c>
      <c r="E286" s="1">
        <v>45390</v>
      </c>
      <c r="F286">
        <f t="shared" ca="1" si="12"/>
        <v>17</v>
      </c>
      <c r="G286" t="str">
        <f t="shared" ca="1" si="13"/>
        <v>2. 1-3yr</v>
      </c>
      <c r="H286">
        <f t="shared" si="14"/>
        <v>1</v>
      </c>
    </row>
    <row r="287" spans="1:8" x14ac:dyDescent="0.3">
      <c r="A287">
        <v>1162</v>
      </c>
      <c r="B287" t="s">
        <v>9</v>
      </c>
      <c r="C287" s="1">
        <v>46009</v>
      </c>
      <c r="D287" t="s">
        <v>7</v>
      </c>
      <c r="E287" t="s">
        <v>8</v>
      </c>
      <c r="F287">
        <f t="shared" ca="1" si="12"/>
        <v>8</v>
      </c>
      <c r="G287" t="str">
        <f t="shared" ca="1" si="13"/>
        <v>1. &lt;1yr</v>
      </c>
      <c r="H287">
        <f t="shared" si="14"/>
        <v>0</v>
      </c>
    </row>
    <row r="288" spans="1:8" x14ac:dyDescent="0.3">
      <c r="A288">
        <v>1172</v>
      </c>
      <c r="B288" t="s">
        <v>9</v>
      </c>
      <c r="C288" s="1">
        <v>44906</v>
      </c>
      <c r="D288" t="s">
        <v>7</v>
      </c>
      <c r="E288" t="s">
        <v>8</v>
      </c>
      <c r="F288">
        <f t="shared" ca="1" si="12"/>
        <v>44</v>
      </c>
      <c r="G288" t="str">
        <f t="shared" ca="1" si="13"/>
        <v>3. 3-5yr</v>
      </c>
      <c r="H288">
        <f t="shared" si="14"/>
        <v>0</v>
      </c>
    </row>
    <row r="289" spans="1:8" x14ac:dyDescent="0.3">
      <c r="A289">
        <v>1179</v>
      </c>
      <c r="B289" t="s">
        <v>9</v>
      </c>
      <c r="C289" s="1">
        <v>45638</v>
      </c>
      <c r="D289" t="s">
        <v>7</v>
      </c>
      <c r="E289" t="s">
        <v>8</v>
      </c>
      <c r="F289">
        <f t="shared" ca="1" si="12"/>
        <v>20</v>
      </c>
      <c r="G289" t="str">
        <f t="shared" ca="1" si="13"/>
        <v>2. 1-3yr</v>
      </c>
      <c r="H289">
        <f t="shared" si="14"/>
        <v>0</v>
      </c>
    </row>
    <row r="290" spans="1:8" x14ac:dyDescent="0.3">
      <c r="A290">
        <v>1181</v>
      </c>
      <c r="B290" t="s">
        <v>9</v>
      </c>
      <c r="C290" s="1">
        <v>44191</v>
      </c>
      <c r="D290" t="s">
        <v>7</v>
      </c>
      <c r="E290" t="s">
        <v>8</v>
      </c>
      <c r="F290">
        <f t="shared" ca="1" si="12"/>
        <v>67</v>
      </c>
      <c r="G290" t="str">
        <f t="shared" ca="1" si="13"/>
        <v>4. 5+yr</v>
      </c>
      <c r="H290">
        <f t="shared" si="14"/>
        <v>0</v>
      </c>
    </row>
    <row r="291" spans="1:8" x14ac:dyDescent="0.3">
      <c r="A291">
        <v>1189</v>
      </c>
      <c r="B291" t="s">
        <v>9</v>
      </c>
      <c r="C291" s="1">
        <v>44956</v>
      </c>
      <c r="D291" t="s">
        <v>7</v>
      </c>
      <c r="E291" t="s">
        <v>8</v>
      </c>
      <c r="F291">
        <f t="shared" ca="1" si="12"/>
        <v>42</v>
      </c>
      <c r="G291" t="str">
        <f t="shared" ca="1" si="13"/>
        <v>3. 3-5yr</v>
      </c>
      <c r="H291">
        <f t="shared" si="14"/>
        <v>0</v>
      </c>
    </row>
    <row r="292" spans="1:8" x14ac:dyDescent="0.3">
      <c r="A292">
        <v>1208</v>
      </c>
      <c r="B292" t="s">
        <v>9</v>
      </c>
      <c r="C292" s="1">
        <v>46223</v>
      </c>
      <c r="D292" t="s">
        <v>7</v>
      </c>
      <c r="E292" t="s">
        <v>8</v>
      </c>
      <c r="F292">
        <f t="shared" ca="1" si="12"/>
        <v>0</v>
      </c>
      <c r="G292" t="str">
        <f t="shared" ca="1" si="13"/>
        <v>1. &lt;1yr</v>
      </c>
      <c r="H292">
        <f t="shared" si="14"/>
        <v>0</v>
      </c>
    </row>
    <row r="293" spans="1:8" x14ac:dyDescent="0.3">
      <c r="A293">
        <v>1210</v>
      </c>
      <c r="B293" t="s">
        <v>9</v>
      </c>
      <c r="C293" s="1">
        <v>45461</v>
      </c>
      <c r="D293" t="s">
        <v>6</v>
      </c>
      <c r="E293" s="1">
        <v>46016</v>
      </c>
      <c r="F293">
        <f t="shared" ca="1" si="12"/>
        <v>18</v>
      </c>
      <c r="G293" t="str">
        <f t="shared" ca="1" si="13"/>
        <v>2. 1-3yr</v>
      </c>
      <c r="H293">
        <f t="shared" si="14"/>
        <v>1</v>
      </c>
    </row>
    <row r="294" spans="1:8" x14ac:dyDescent="0.3">
      <c r="A294">
        <v>1211</v>
      </c>
      <c r="B294" t="s">
        <v>9</v>
      </c>
      <c r="C294" s="1">
        <v>45396</v>
      </c>
      <c r="D294" t="s">
        <v>7</v>
      </c>
      <c r="E294" t="s">
        <v>8</v>
      </c>
      <c r="F294">
        <f t="shared" ca="1" si="12"/>
        <v>28</v>
      </c>
      <c r="G294" t="str">
        <f t="shared" ca="1" si="13"/>
        <v>2. 1-3yr</v>
      </c>
      <c r="H294">
        <f t="shared" si="14"/>
        <v>0</v>
      </c>
    </row>
    <row r="295" spans="1:8" x14ac:dyDescent="0.3">
      <c r="A295">
        <v>1215</v>
      </c>
      <c r="B295" t="s">
        <v>9</v>
      </c>
      <c r="C295" s="1">
        <v>45214</v>
      </c>
      <c r="D295" t="s">
        <v>7</v>
      </c>
      <c r="E295" t="s">
        <v>8</v>
      </c>
      <c r="F295">
        <f t="shared" ca="1" si="12"/>
        <v>34</v>
      </c>
      <c r="G295" t="str">
        <f t="shared" ca="1" si="13"/>
        <v>2. 1-3yr</v>
      </c>
      <c r="H295">
        <f t="shared" si="14"/>
        <v>0</v>
      </c>
    </row>
    <row r="296" spans="1:8" x14ac:dyDescent="0.3">
      <c r="A296">
        <v>1223</v>
      </c>
      <c r="B296" t="s">
        <v>9</v>
      </c>
      <c r="C296" s="1">
        <v>45040</v>
      </c>
      <c r="D296" t="s">
        <v>7</v>
      </c>
      <c r="E296" t="s">
        <v>8</v>
      </c>
      <c r="F296">
        <f t="shared" ca="1" si="12"/>
        <v>39</v>
      </c>
      <c r="G296" t="str">
        <f t="shared" ca="1" si="13"/>
        <v>3. 3-5yr</v>
      </c>
      <c r="H296">
        <f t="shared" si="14"/>
        <v>0</v>
      </c>
    </row>
    <row r="297" spans="1:8" x14ac:dyDescent="0.3">
      <c r="A297">
        <v>1230</v>
      </c>
      <c r="B297" t="s">
        <v>9</v>
      </c>
      <c r="C297" s="1">
        <v>45694</v>
      </c>
      <c r="D297" t="s">
        <v>7</v>
      </c>
      <c r="E297" t="s">
        <v>8</v>
      </c>
      <c r="F297">
        <f t="shared" ca="1" si="12"/>
        <v>18</v>
      </c>
      <c r="G297" t="str">
        <f t="shared" ca="1" si="13"/>
        <v>2. 1-3yr</v>
      </c>
      <c r="H297">
        <f t="shared" si="14"/>
        <v>0</v>
      </c>
    </row>
    <row r="298" spans="1:8" x14ac:dyDescent="0.3">
      <c r="A298">
        <v>1238</v>
      </c>
      <c r="B298" t="s">
        <v>9</v>
      </c>
      <c r="C298" s="1">
        <v>45656</v>
      </c>
      <c r="D298" t="s">
        <v>6</v>
      </c>
      <c r="E298" s="1">
        <v>46003</v>
      </c>
      <c r="F298">
        <f t="shared" ca="1" si="12"/>
        <v>11</v>
      </c>
      <c r="G298" t="str">
        <f t="shared" ca="1" si="13"/>
        <v>1. &lt;1yr</v>
      </c>
      <c r="H298">
        <f t="shared" si="14"/>
        <v>1</v>
      </c>
    </row>
    <row r="299" spans="1:8" x14ac:dyDescent="0.3">
      <c r="A299">
        <v>1240</v>
      </c>
      <c r="B299" t="s">
        <v>9</v>
      </c>
      <c r="C299" s="1">
        <v>46198</v>
      </c>
      <c r="D299" t="s">
        <v>7</v>
      </c>
      <c r="E299" t="s">
        <v>8</v>
      </c>
      <c r="F299">
        <f t="shared" ca="1" si="12"/>
        <v>1</v>
      </c>
      <c r="G299" t="str">
        <f t="shared" ca="1" si="13"/>
        <v>1. &lt;1yr</v>
      </c>
      <c r="H299">
        <f t="shared" si="14"/>
        <v>0</v>
      </c>
    </row>
    <row r="300" spans="1:8" x14ac:dyDescent="0.3">
      <c r="A300">
        <v>1244</v>
      </c>
      <c r="B300" t="s">
        <v>9</v>
      </c>
      <c r="C300" s="1">
        <v>44948</v>
      </c>
      <c r="D300" t="s">
        <v>6</v>
      </c>
      <c r="E300" s="1">
        <v>45714</v>
      </c>
      <c r="F300">
        <f t="shared" ca="1" si="12"/>
        <v>25</v>
      </c>
      <c r="G300" t="str">
        <f t="shared" ca="1" si="13"/>
        <v>2. 1-3yr</v>
      </c>
      <c r="H300">
        <f t="shared" si="14"/>
        <v>1</v>
      </c>
    </row>
    <row r="301" spans="1:8" x14ac:dyDescent="0.3">
      <c r="A301">
        <v>1249</v>
      </c>
      <c r="B301" t="s">
        <v>9</v>
      </c>
      <c r="C301" s="1">
        <v>44235</v>
      </c>
      <c r="D301" t="s">
        <v>7</v>
      </c>
      <c r="E301" t="s">
        <v>8</v>
      </c>
      <c r="F301">
        <f t="shared" ca="1" si="12"/>
        <v>66</v>
      </c>
      <c r="G301" t="str">
        <f t="shared" ca="1" si="13"/>
        <v>4. 5+yr</v>
      </c>
      <c r="H301">
        <f t="shared" si="14"/>
        <v>0</v>
      </c>
    </row>
    <row r="302" spans="1:8" x14ac:dyDescent="0.3">
      <c r="A302">
        <v>1255</v>
      </c>
      <c r="B302" t="s">
        <v>9</v>
      </c>
      <c r="C302" s="1">
        <v>44167</v>
      </c>
      <c r="D302" t="s">
        <v>7</v>
      </c>
      <c r="E302" t="s">
        <v>8</v>
      </c>
      <c r="F302">
        <f t="shared" ca="1" si="12"/>
        <v>68</v>
      </c>
      <c r="G302" t="str">
        <f t="shared" ca="1" si="13"/>
        <v>4. 5+yr</v>
      </c>
      <c r="H302">
        <f t="shared" si="14"/>
        <v>0</v>
      </c>
    </row>
    <row r="303" spans="1:8" x14ac:dyDescent="0.3">
      <c r="A303">
        <v>1274</v>
      </c>
      <c r="B303" t="s">
        <v>9</v>
      </c>
      <c r="C303" s="1">
        <v>44865</v>
      </c>
      <c r="D303" t="s">
        <v>7</v>
      </c>
      <c r="E303" t="s">
        <v>8</v>
      </c>
      <c r="F303">
        <f t="shared" ca="1" si="12"/>
        <v>45</v>
      </c>
      <c r="G303" t="str">
        <f t="shared" ca="1" si="13"/>
        <v>3. 3-5yr</v>
      </c>
      <c r="H303">
        <f t="shared" si="14"/>
        <v>0</v>
      </c>
    </row>
    <row r="304" spans="1:8" x14ac:dyDescent="0.3">
      <c r="A304">
        <v>1295</v>
      </c>
      <c r="B304" t="s">
        <v>9</v>
      </c>
      <c r="C304" s="1">
        <v>44685</v>
      </c>
      <c r="D304" t="s">
        <v>7</v>
      </c>
      <c r="E304" t="s">
        <v>8</v>
      </c>
      <c r="F304">
        <f t="shared" ca="1" si="12"/>
        <v>51</v>
      </c>
      <c r="G304" t="str">
        <f t="shared" ca="1" si="13"/>
        <v>3. 3-5yr</v>
      </c>
      <c r="H304">
        <f t="shared" si="14"/>
        <v>0</v>
      </c>
    </row>
    <row r="305" spans="1:8" x14ac:dyDescent="0.3">
      <c r="A305">
        <v>1307</v>
      </c>
      <c r="B305" t="s">
        <v>9</v>
      </c>
      <c r="C305" s="1">
        <v>46048</v>
      </c>
      <c r="D305" t="s">
        <v>7</v>
      </c>
      <c r="E305" t="s">
        <v>8</v>
      </c>
      <c r="F305">
        <f t="shared" ca="1" si="12"/>
        <v>6</v>
      </c>
      <c r="G305" t="str">
        <f t="shared" ca="1" si="13"/>
        <v>1. &lt;1yr</v>
      </c>
      <c r="H305">
        <f t="shared" si="14"/>
        <v>0</v>
      </c>
    </row>
    <row r="306" spans="1:8" x14ac:dyDescent="0.3">
      <c r="A306">
        <v>1317</v>
      </c>
      <c r="B306" t="s">
        <v>9</v>
      </c>
      <c r="C306" s="1">
        <v>44435</v>
      </c>
      <c r="D306" t="s">
        <v>7</v>
      </c>
      <c r="E306" t="s">
        <v>8</v>
      </c>
      <c r="F306">
        <f t="shared" ca="1" si="12"/>
        <v>59</v>
      </c>
      <c r="G306" t="str">
        <f t="shared" ca="1" si="13"/>
        <v>3. 3-5yr</v>
      </c>
      <c r="H306">
        <f t="shared" si="14"/>
        <v>0</v>
      </c>
    </row>
    <row r="307" spans="1:8" x14ac:dyDescent="0.3">
      <c r="A307">
        <v>1325</v>
      </c>
      <c r="B307" t="s">
        <v>9</v>
      </c>
      <c r="C307" s="1">
        <v>45938</v>
      </c>
      <c r="D307" t="s">
        <v>6</v>
      </c>
      <c r="E307" s="1">
        <v>45968</v>
      </c>
      <c r="F307">
        <f t="shared" ca="1" si="12"/>
        <v>0</v>
      </c>
      <c r="G307" t="str">
        <f t="shared" ca="1" si="13"/>
        <v>1. &lt;1yr</v>
      </c>
      <c r="H307">
        <f t="shared" si="14"/>
        <v>1</v>
      </c>
    </row>
    <row r="308" spans="1:8" x14ac:dyDescent="0.3">
      <c r="A308">
        <v>1326</v>
      </c>
      <c r="B308" t="s">
        <v>9</v>
      </c>
      <c r="C308" s="1">
        <v>44925</v>
      </c>
      <c r="D308" t="s">
        <v>7</v>
      </c>
      <c r="E308" t="s">
        <v>8</v>
      </c>
      <c r="F308">
        <f t="shared" ca="1" si="12"/>
        <v>43</v>
      </c>
      <c r="G308" t="str">
        <f t="shared" ca="1" si="13"/>
        <v>3. 3-5yr</v>
      </c>
      <c r="H308">
        <f t="shared" si="14"/>
        <v>0</v>
      </c>
    </row>
    <row r="309" spans="1:8" x14ac:dyDescent="0.3">
      <c r="A309">
        <v>1335</v>
      </c>
      <c r="B309" t="s">
        <v>9</v>
      </c>
      <c r="C309" s="1">
        <v>45544</v>
      </c>
      <c r="D309" t="s">
        <v>6</v>
      </c>
      <c r="E309" s="1">
        <v>45922</v>
      </c>
      <c r="F309">
        <f t="shared" ca="1" si="12"/>
        <v>12</v>
      </c>
      <c r="G309" t="str">
        <f t="shared" ca="1" si="13"/>
        <v>2. 1-3yr</v>
      </c>
      <c r="H309">
        <f t="shared" si="14"/>
        <v>1</v>
      </c>
    </row>
    <row r="310" spans="1:8" x14ac:dyDescent="0.3">
      <c r="A310">
        <v>1337</v>
      </c>
      <c r="B310" t="s">
        <v>9</v>
      </c>
      <c r="C310" s="1">
        <v>45322</v>
      </c>
      <c r="D310" t="s">
        <v>7</v>
      </c>
      <c r="E310" t="s">
        <v>8</v>
      </c>
      <c r="F310">
        <f t="shared" ca="1" si="12"/>
        <v>30</v>
      </c>
      <c r="G310" t="str">
        <f t="shared" ca="1" si="13"/>
        <v>2. 1-3yr</v>
      </c>
      <c r="H310">
        <f t="shared" si="14"/>
        <v>0</v>
      </c>
    </row>
    <row r="311" spans="1:8" x14ac:dyDescent="0.3">
      <c r="A311">
        <v>1349</v>
      </c>
      <c r="B311" t="s">
        <v>9</v>
      </c>
      <c r="C311" s="1">
        <v>45223</v>
      </c>
      <c r="D311" t="s">
        <v>7</v>
      </c>
      <c r="E311" t="s">
        <v>8</v>
      </c>
      <c r="F311">
        <f t="shared" ca="1" si="12"/>
        <v>33</v>
      </c>
      <c r="G311" t="str">
        <f t="shared" ca="1" si="13"/>
        <v>2. 1-3yr</v>
      </c>
      <c r="H311">
        <f t="shared" si="14"/>
        <v>0</v>
      </c>
    </row>
    <row r="312" spans="1:8" x14ac:dyDescent="0.3">
      <c r="A312">
        <v>1354</v>
      </c>
      <c r="B312" t="s">
        <v>9</v>
      </c>
      <c r="C312" s="1">
        <v>44988</v>
      </c>
      <c r="D312" t="s">
        <v>7</v>
      </c>
      <c r="E312" t="s">
        <v>8</v>
      </c>
      <c r="F312">
        <f t="shared" ca="1" si="12"/>
        <v>41</v>
      </c>
      <c r="G312" t="str">
        <f t="shared" ca="1" si="13"/>
        <v>3. 3-5yr</v>
      </c>
      <c r="H312">
        <f t="shared" si="14"/>
        <v>0</v>
      </c>
    </row>
    <row r="313" spans="1:8" x14ac:dyDescent="0.3">
      <c r="A313">
        <v>1390</v>
      </c>
      <c r="B313" t="s">
        <v>9</v>
      </c>
      <c r="C313" s="1">
        <v>45403</v>
      </c>
      <c r="D313" t="s">
        <v>7</v>
      </c>
      <c r="E313" t="s">
        <v>8</v>
      </c>
      <c r="F313">
        <f t="shared" ca="1" si="12"/>
        <v>27</v>
      </c>
      <c r="G313" t="str">
        <f t="shared" ca="1" si="13"/>
        <v>2. 1-3yr</v>
      </c>
      <c r="H313">
        <f t="shared" si="14"/>
        <v>0</v>
      </c>
    </row>
    <row r="314" spans="1:8" x14ac:dyDescent="0.3">
      <c r="A314">
        <v>1393</v>
      </c>
      <c r="B314" t="s">
        <v>9</v>
      </c>
      <c r="C314" s="1">
        <v>44515</v>
      </c>
      <c r="D314" t="s">
        <v>7</v>
      </c>
      <c r="E314" t="s">
        <v>8</v>
      </c>
      <c r="F314">
        <f t="shared" ca="1" si="12"/>
        <v>57</v>
      </c>
      <c r="G314" t="str">
        <f t="shared" ca="1" si="13"/>
        <v>3. 3-5yr</v>
      </c>
      <c r="H314">
        <f t="shared" si="14"/>
        <v>0</v>
      </c>
    </row>
    <row r="315" spans="1:8" x14ac:dyDescent="0.3">
      <c r="A315">
        <v>1396</v>
      </c>
      <c r="B315" t="s">
        <v>9</v>
      </c>
      <c r="C315" s="1">
        <v>45631</v>
      </c>
      <c r="D315" t="s">
        <v>7</v>
      </c>
      <c r="E315" t="s">
        <v>8</v>
      </c>
      <c r="F315">
        <f t="shared" ca="1" si="12"/>
        <v>20</v>
      </c>
      <c r="G315" t="str">
        <f t="shared" ca="1" si="13"/>
        <v>2. 1-3yr</v>
      </c>
      <c r="H315">
        <f t="shared" si="14"/>
        <v>0</v>
      </c>
    </row>
    <row r="316" spans="1:8" x14ac:dyDescent="0.3">
      <c r="A316">
        <v>1398</v>
      </c>
      <c r="B316" t="s">
        <v>9</v>
      </c>
      <c r="C316" s="1">
        <v>44938</v>
      </c>
      <c r="D316" t="s">
        <v>7</v>
      </c>
      <c r="E316" t="s">
        <v>8</v>
      </c>
      <c r="F316">
        <f t="shared" ca="1" si="12"/>
        <v>43</v>
      </c>
      <c r="G316" t="str">
        <f t="shared" ca="1" si="13"/>
        <v>3. 3-5yr</v>
      </c>
      <c r="H316">
        <f t="shared" si="14"/>
        <v>0</v>
      </c>
    </row>
    <row r="317" spans="1:8" x14ac:dyDescent="0.3">
      <c r="A317">
        <v>1399</v>
      </c>
      <c r="B317" t="s">
        <v>9</v>
      </c>
      <c r="C317" s="1">
        <v>45906</v>
      </c>
      <c r="D317" t="s">
        <v>6</v>
      </c>
      <c r="E317" s="1">
        <v>45936</v>
      </c>
      <c r="F317">
        <f t="shared" ca="1" si="12"/>
        <v>1</v>
      </c>
      <c r="G317" t="str">
        <f t="shared" ca="1" si="13"/>
        <v>1. &lt;1yr</v>
      </c>
      <c r="H317">
        <f t="shared" si="14"/>
        <v>1</v>
      </c>
    </row>
    <row r="318" spans="1:8" x14ac:dyDescent="0.3">
      <c r="A318">
        <v>1410</v>
      </c>
      <c r="B318" t="s">
        <v>9</v>
      </c>
      <c r="C318" s="1">
        <v>46205</v>
      </c>
      <c r="D318" t="s">
        <v>7</v>
      </c>
      <c r="E318" t="s">
        <v>8</v>
      </c>
      <c r="F318">
        <f t="shared" ca="1" si="12"/>
        <v>1</v>
      </c>
      <c r="G318" t="str">
        <f t="shared" ca="1" si="13"/>
        <v>1. &lt;1yr</v>
      </c>
      <c r="H318">
        <f t="shared" si="14"/>
        <v>0</v>
      </c>
    </row>
    <row r="319" spans="1:8" x14ac:dyDescent="0.3">
      <c r="A319">
        <v>1420</v>
      </c>
      <c r="B319" t="s">
        <v>9</v>
      </c>
      <c r="C319" s="1">
        <v>45099</v>
      </c>
      <c r="D319" t="s">
        <v>7</v>
      </c>
      <c r="E319" t="s">
        <v>8</v>
      </c>
      <c r="F319">
        <f t="shared" ca="1" si="12"/>
        <v>37</v>
      </c>
      <c r="G319" t="str">
        <f t="shared" ca="1" si="13"/>
        <v>3. 3-5yr</v>
      </c>
      <c r="H319">
        <f t="shared" si="14"/>
        <v>0</v>
      </c>
    </row>
    <row r="320" spans="1:8" x14ac:dyDescent="0.3">
      <c r="A320">
        <v>1441</v>
      </c>
      <c r="B320" t="s">
        <v>9</v>
      </c>
      <c r="C320" s="1">
        <v>45613</v>
      </c>
      <c r="D320" t="s">
        <v>7</v>
      </c>
      <c r="E320" t="s">
        <v>8</v>
      </c>
      <c r="F320">
        <f t="shared" ca="1" si="12"/>
        <v>21</v>
      </c>
      <c r="G320" t="str">
        <f t="shared" ca="1" si="13"/>
        <v>2. 1-3yr</v>
      </c>
      <c r="H320">
        <f t="shared" si="14"/>
        <v>0</v>
      </c>
    </row>
    <row r="321" spans="1:8" x14ac:dyDescent="0.3">
      <c r="A321">
        <v>1442</v>
      </c>
      <c r="B321" t="s">
        <v>9</v>
      </c>
      <c r="C321" s="1">
        <v>45614</v>
      </c>
      <c r="D321" t="s">
        <v>7</v>
      </c>
      <c r="E321" t="s">
        <v>8</v>
      </c>
      <c r="F321">
        <f t="shared" ca="1" si="12"/>
        <v>21</v>
      </c>
      <c r="G321" t="str">
        <f t="shared" ca="1" si="13"/>
        <v>2. 1-3yr</v>
      </c>
      <c r="H321">
        <f t="shared" si="14"/>
        <v>0</v>
      </c>
    </row>
    <row r="322" spans="1:8" x14ac:dyDescent="0.3">
      <c r="A322">
        <v>1458</v>
      </c>
      <c r="B322" t="s">
        <v>9</v>
      </c>
      <c r="C322" s="1">
        <v>45692</v>
      </c>
      <c r="D322" t="s">
        <v>7</v>
      </c>
      <c r="E322" t="s">
        <v>8</v>
      </c>
      <c r="F322">
        <f t="shared" ca="1" si="12"/>
        <v>18</v>
      </c>
      <c r="G322" t="str">
        <f t="shared" ca="1" si="13"/>
        <v>2. 1-3yr</v>
      </c>
      <c r="H322">
        <f t="shared" si="14"/>
        <v>0</v>
      </c>
    </row>
    <row r="323" spans="1:8" x14ac:dyDescent="0.3">
      <c r="A323">
        <v>1473</v>
      </c>
      <c r="B323" t="s">
        <v>9</v>
      </c>
      <c r="C323" s="1">
        <v>46045</v>
      </c>
      <c r="D323" t="s">
        <v>7</v>
      </c>
      <c r="E323" t="s">
        <v>8</v>
      </c>
      <c r="F323">
        <f t="shared" ref="F323:F386" ca="1" si="15">DATEDIF(C323, IF(OR(E323="",E323="NULL"), TODAY(), E323), "m")</f>
        <v>6</v>
      </c>
      <c r="G323" t="str">
        <f t="shared" ref="G323:G386" ca="1" si="16">IF(F323&lt;12,"1. &lt;1yr",IF(F323&lt;36,"2. 1-3yr",IF(F323&lt;60,"3. 3-5yr","4. 5+yr")))</f>
        <v>1. &lt;1yr</v>
      </c>
      <c r="H323">
        <f t="shared" ref="H323:H386" si="17">IF(D323="Yes",1,0)</f>
        <v>0</v>
      </c>
    </row>
    <row r="324" spans="1:8" x14ac:dyDescent="0.3">
      <c r="A324">
        <v>1474</v>
      </c>
      <c r="B324" t="s">
        <v>9</v>
      </c>
      <c r="C324" s="1">
        <v>45755</v>
      </c>
      <c r="D324" t="s">
        <v>6</v>
      </c>
      <c r="E324" s="1">
        <v>45942</v>
      </c>
      <c r="F324">
        <f t="shared" ca="1" si="15"/>
        <v>6</v>
      </c>
      <c r="G324" t="str">
        <f t="shared" ca="1" si="16"/>
        <v>1. &lt;1yr</v>
      </c>
      <c r="H324">
        <f t="shared" si="17"/>
        <v>1</v>
      </c>
    </row>
    <row r="325" spans="1:8" x14ac:dyDescent="0.3">
      <c r="A325">
        <v>1492</v>
      </c>
      <c r="B325" t="s">
        <v>9</v>
      </c>
      <c r="C325" s="1">
        <v>46108</v>
      </c>
      <c r="D325" t="s">
        <v>7</v>
      </c>
      <c r="E325" t="s">
        <v>8</v>
      </c>
      <c r="F325">
        <f t="shared" ca="1" si="15"/>
        <v>4</v>
      </c>
      <c r="G325" t="str">
        <f t="shared" ca="1" si="16"/>
        <v>1. &lt;1yr</v>
      </c>
      <c r="H325">
        <f t="shared" si="17"/>
        <v>0</v>
      </c>
    </row>
    <row r="326" spans="1:8" x14ac:dyDescent="0.3">
      <c r="A326">
        <v>1504</v>
      </c>
      <c r="B326" t="s">
        <v>9</v>
      </c>
      <c r="C326" s="1">
        <v>44750</v>
      </c>
      <c r="D326" t="s">
        <v>7</v>
      </c>
      <c r="E326" t="s">
        <v>8</v>
      </c>
      <c r="F326">
        <f t="shared" ca="1" si="15"/>
        <v>49</v>
      </c>
      <c r="G326" t="str">
        <f t="shared" ca="1" si="16"/>
        <v>3. 3-5yr</v>
      </c>
      <c r="H326">
        <f t="shared" si="17"/>
        <v>0</v>
      </c>
    </row>
    <row r="327" spans="1:8" x14ac:dyDescent="0.3">
      <c r="A327">
        <v>1519</v>
      </c>
      <c r="B327" t="s">
        <v>9</v>
      </c>
      <c r="C327" s="1">
        <v>45273</v>
      </c>
      <c r="D327" t="s">
        <v>7</v>
      </c>
      <c r="E327" t="s">
        <v>8</v>
      </c>
      <c r="F327">
        <f t="shared" ca="1" si="15"/>
        <v>32</v>
      </c>
      <c r="G327" t="str">
        <f t="shared" ca="1" si="16"/>
        <v>2. 1-3yr</v>
      </c>
      <c r="H327">
        <f t="shared" si="17"/>
        <v>0</v>
      </c>
    </row>
    <row r="328" spans="1:8" x14ac:dyDescent="0.3">
      <c r="A328">
        <v>1526</v>
      </c>
      <c r="B328" t="s">
        <v>9</v>
      </c>
      <c r="C328" s="1">
        <v>44607</v>
      </c>
      <c r="D328" t="s">
        <v>6</v>
      </c>
      <c r="E328" s="1">
        <v>46038</v>
      </c>
      <c r="F328">
        <f t="shared" ca="1" si="15"/>
        <v>47</v>
      </c>
      <c r="G328" t="str">
        <f t="shared" ca="1" si="16"/>
        <v>3. 3-5yr</v>
      </c>
      <c r="H328">
        <f t="shared" si="17"/>
        <v>1</v>
      </c>
    </row>
    <row r="329" spans="1:8" x14ac:dyDescent="0.3">
      <c r="A329">
        <v>1530</v>
      </c>
      <c r="B329" t="s">
        <v>9</v>
      </c>
      <c r="C329" s="1">
        <v>45849</v>
      </c>
      <c r="D329" t="s">
        <v>7</v>
      </c>
      <c r="E329" t="s">
        <v>8</v>
      </c>
      <c r="F329">
        <f t="shared" ca="1" si="15"/>
        <v>13</v>
      </c>
      <c r="G329" t="str">
        <f t="shared" ca="1" si="16"/>
        <v>2. 1-3yr</v>
      </c>
      <c r="H329">
        <f t="shared" si="17"/>
        <v>0</v>
      </c>
    </row>
    <row r="330" spans="1:8" x14ac:dyDescent="0.3">
      <c r="A330">
        <v>1542</v>
      </c>
      <c r="B330" t="s">
        <v>9</v>
      </c>
      <c r="C330" s="1">
        <v>45600</v>
      </c>
      <c r="D330" t="s">
        <v>7</v>
      </c>
      <c r="E330" t="s">
        <v>8</v>
      </c>
      <c r="F330">
        <f t="shared" ca="1" si="15"/>
        <v>21</v>
      </c>
      <c r="G330" t="str">
        <f t="shared" ca="1" si="16"/>
        <v>2. 1-3yr</v>
      </c>
      <c r="H330">
        <f t="shared" si="17"/>
        <v>0</v>
      </c>
    </row>
    <row r="331" spans="1:8" x14ac:dyDescent="0.3">
      <c r="A331">
        <v>1548</v>
      </c>
      <c r="B331" t="s">
        <v>9</v>
      </c>
      <c r="C331" s="1">
        <v>45524</v>
      </c>
      <c r="D331" t="s">
        <v>7</v>
      </c>
      <c r="E331" t="s">
        <v>8</v>
      </c>
      <c r="F331">
        <f t="shared" ca="1" si="15"/>
        <v>23</v>
      </c>
      <c r="G331" t="str">
        <f t="shared" ca="1" si="16"/>
        <v>2. 1-3yr</v>
      </c>
      <c r="H331">
        <f t="shared" si="17"/>
        <v>0</v>
      </c>
    </row>
    <row r="332" spans="1:8" x14ac:dyDescent="0.3">
      <c r="A332">
        <v>1550</v>
      </c>
      <c r="B332" t="s">
        <v>9</v>
      </c>
      <c r="C332" s="1">
        <v>44886</v>
      </c>
      <c r="D332" t="s">
        <v>7</v>
      </c>
      <c r="E332" t="s">
        <v>8</v>
      </c>
      <c r="F332">
        <f t="shared" ca="1" si="15"/>
        <v>44</v>
      </c>
      <c r="G332" t="str">
        <f t="shared" ca="1" si="16"/>
        <v>3. 3-5yr</v>
      </c>
      <c r="H332">
        <f t="shared" si="17"/>
        <v>0</v>
      </c>
    </row>
    <row r="333" spans="1:8" x14ac:dyDescent="0.3">
      <c r="A333">
        <v>1552</v>
      </c>
      <c r="B333" t="s">
        <v>9</v>
      </c>
      <c r="C333" s="1">
        <v>45914</v>
      </c>
      <c r="D333" t="s">
        <v>6</v>
      </c>
      <c r="E333" s="1">
        <v>45944</v>
      </c>
      <c r="F333">
        <f t="shared" ca="1" si="15"/>
        <v>1</v>
      </c>
      <c r="G333" t="str">
        <f t="shared" ca="1" si="16"/>
        <v>1. &lt;1yr</v>
      </c>
      <c r="H333">
        <f t="shared" si="17"/>
        <v>1</v>
      </c>
    </row>
    <row r="334" spans="1:8" x14ac:dyDescent="0.3">
      <c r="A334">
        <v>1560</v>
      </c>
      <c r="B334" t="s">
        <v>9</v>
      </c>
      <c r="C334" s="1">
        <v>45615</v>
      </c>
      <c r="D334" t="s">
        <v>7</v>
      </c>
      <c r="E334" t="s">
        <v>8</v>
      </c>
      <c r="F334">
        <f t="shared" ca="1" si="15"/>
        <v>20</v>
      </c>
      <c r="G334" t="str">
        <f t="shared" ca="1" si="16"/>
        <v>2. 1-3yr</v>
      </c>
      <c r="H334">
        <f t="shared" si="17"/>
        <v>0</v>
      </c>
    </row>
    <row r="335" spans="1:8" x14ac:dyDescent="0.3">
      <c r="A335">
        <v>1570</v>
      </c>
      <c r="B335" t="s">
        <v>9</v>
      </c>
      <c r="C335" s="1">
        <v>45577</v>
      </c>
      <c r="D335" t="s">
        <v>7</v>
      </c>
      <c r="E335" t="s">
        <v>8</v>
      </c>
      <c r="F335">
        <f t="shared" ca="1" si="15"/>
        <v>22</v>
      </c>
      <c r="G335" t="str">
        <f t="shared" ca="1" si="16"/>
        <v>2. 1-3yr</v>
      </c>
      <c r="H335">
        <f t="shared" si="17"/>
        <v>0</v>
      </c>
    </row>
    <row r="336" spans="1:8" x14ac:dyDescent="0.3">
      <c r="A336">
        <v>1580</v>
      </c>
      <c r="B336" t="s">
        <v>9</v>
      </c>
      <c r="C336" s="1">
        <v>45525</v>
      </c>
      <c r="D336" t="s">
        <v>7</v>
      </c>
      <c r="E336" t="s">
        <v>8</v>
      </c>
      <c r="F336">
        <f t="shared" ca="1" si="15"/>
        <v>23</v>
      </c>
      <c r="G336" t="str">
        <f t="shared" ca="1" si="16"/>
        <v>2. 1-3yr</v>
      </c>
      <c r="H336">
        <f t="shared" si="17"/>
        <v>0</v>
      </c>
    </row>
    <row r="337" spans="1:8" x14ac:dyDescent="0.3">
      <c r="A337">
        <v>1586</v>
      </c>
      <c r="B337" t="s">
        <v>9</v>
      </c>
      <c r="C337" s="1">
        <v>45585</v>
      </c>
      <c r="D337" t="s">
        <v>7</v>
      </c>
      <c r="E337" t="s">
        <v>8</v>
      </c>
      <c r="F337">
        <f t="shared" ca="1" si="15"/>
        <v>21</v>
      </c>
      <c r="G337" t="str">
        <f t="shared" ca="1" si="16"/>
        <v>2. 1-3yr</v>
      </c>
      <c r="H337">
        <f t="shared" si="17"/>
        <v>0</v>
      </c>
    </row>
    <row r="338" spans="1:8" x14ac:dyDescent="0.3">
      <c r="A338">
        <v>1592</v>
      </c>
      <c r="B338" t="s">
        <v>9</v>
      </c>
      <c r="C338" s="1">
        <v>45417</v>
      </c>
      <c r="D338" t="s">
        <v>6</v>
      </c>
      <c r="E338" s="1">
        <v>46129</v>
      </c>
      <c r="F338">
        <f t="shared" ca="1" si="15"/>
        <v>23</v>
      </c>
      <c r="G338" t="str">
        <f t="shared" ca="1" si="16"/>
        <v>2. 1-3yr</v>
      </c>
      <c r="H338">
        <f t="shared" si="17"/>
        <v>1</v>
      </c>
    </row>
    <row r="339" spans="1:8" x14ac:dyDescent="0.3">
      <c r="A339">
        <v>1602</v>
      </c>
      <c r="B339" t="s">
        <v>9</v>
      </c>
      <c r="C339" s="1">
        <v>44939</v>
      </c>
      <c r="D339" t="s">
        <v>7</v>
      </c>
      <c r="E339" t="s">
        <v>8</v>
      </c>
      <c r="F339">
        <f t="shared" ca="1" si="15"/>
        <v>43</v>
      </c>
      <c r="G339" t="str">
        <f t="shared" ca="1" si="16"/>
        <v>3. 3-5yr</v>
      </c>
      <c r="H339">
        <f t="shared" si="17"/>
        <v>0</v>
      </c>
    </row>
    <row r="340" spans="1:8" x14ac:dyDescent="0.3">
      <c r="A340">
        <v>1608</v>
      </c>
      <c r="B340" t="s">
        <v>9</v>
      </c>
      <c r="C340" s="1">
        <v>45441</v>
      </c>
      <c r="D340" t="s">
        <v>7</v>
      </c>
      <c r="E340" t="s">
        <v>8</v>
      </c>
      <c r="F340">
        <f t="shared" ca="1" si="15"/>
        <v>26</v>
      </c>
      <c r="G340" t="str">
        <f t="shared" ca="1" si="16"/>
        <v>2. 1-3yr</v>
      </c>
      <c r="H340">
        <f t="shared" si="17"/>
        <v>0</v>
      </c>
    </row>
    <row r="341" spans="1:8" x14ac:dyDescent="0.3">
      <c r="A341">
        <v>1610</v>
      </c>
      <c r="B341" t="s">
        <v>9</v>
      </c>
      <c r="C341" s="1">
        <v>44552</v>
      </c>
      <c r="D341" t="s">
        <v>7</v>
      </c>
      <c r="E341" t="s">
        <v>8</v>
      </c>
      <c r="F341">
        <f t="shared" ca="1" si="15"/>
        <v>55</v>
      </c>
      <c r="G341" t="str">
        <f t="shared" ca="1" si="16"/>
        <v>3. 3-5yr</v>
      </c>
      <c r="H341">
        <f t="shared" si="17"/>
        <v>0</v>
      </c>
    </row>
    <row r="342" spans="1:8" x14ac:dyDescent="0.3">
      <c r="A342">
        <v>1653</v>
      </c>
      <c r="B342" t="s">
        <v>9</v>
      </c>
      <c r="C342" s="1">
        <v>44893</v>
      </c>
      <c r="D342" t="s">
        <v>7</v>
      </c>
      <c r="E342" t="s">
        <v>8</v>
      </c>
      <c r="F342">
        <f t="shared" ca="1" si="15"/>
        <v>44</v>
      </c>
      <c r="G342" t="str">
        <f t="shared" ca="1" si="16"/>
        <v>3. 3-5yr</v>
      </c>
      <c r="H342">
        <f t="shared" si="17"/>
        <v>0</v>
      </c>
    </row>
    <row r="343" spans="1:8" x14ac:dyDescent="0.3">
      <c r="A343">
        <v>1654</v>
      </c>
      <c r="B343" t="s">
        <v>9</v>
      </c>
      <c r="C343" s="1">
        <v>46088</v>
      </c>
      <c r="D343" t="s">
        <v>6</v>
      </c>
      <c r="E343" s="1">
        <v>46118</v>
      </c>
      <c r="F343">
        <f t="shared" ca="1" si="15"/>
        <v>0</v>
      </c>
      <c r="G343" t="str">
        <f t="shared" ca="1" si="16"/>
        <v>1. &lt;1yr</v>
      </c>
      <c r="H343">
        <f t="shared" si="17"/>
        <v>1</v>
      </c>
    </row>
    <row r="344" spans="1:8" x14ac:dyDescent="0.3">
      <c r="A344">
        <v>1684</v>
      </c>
      <c r="B344" t="s">
        <v>9</v>
      </c>
      <c r="C344" s="1">
        <v>44749</v>
      </c>
      <c r="D344" t="s">
        <v>6</v>
      </c>
      <c r="E344" s="1">
        <v>45572</v>
      </c>
      <c r="F344">
        <f t="shared" ca="1" si="15"/>
        <v>27</v>
      </c>
      <c r="G344" t="str">
        <f t="shared" ca="1" si="16"/>
        <v>2. 1-3yr</v>
      </c>
      <c r="H344">
        <f t="shared" si="17"/>
        <v>1</v>
      </c>
    </row>
    <row r="345" spans="1:8" x14ac:dyDescent="0.3">
      <c r="A345">
        <v>1689</v>
      </c>
      <c r="B345" t="s">
        <v>9</v>
      </c>
      <c r="C345" s="1">
        <v>44745</v>
      </c>
      <c r="D345" t="s">
        <v>6</v>
      </c>
      <c r="E345" s="1">
        <v>45900</v>
      </c>
      <c r="F345">
        <f t="shared" ca="1" si="15"/>
        <v>37</v>
      </c>
      <c r="G345" t="str">
        <f t="shared" ca="1" si="16"/>
        <v>3. 3-5yr</v>
      </c>
      <c r="H345">
        <f t="shared" si="17"/>
        <v>1</v>
      </c>
    </row>
    <row r="346" spans="1:8" x14ac:dyDescent="0.3">
      <c r="A346">
        <v>1705</v>
      </c>
      <c r="B346" t="s">
        <v>9</v>
      </c>
      <c r="C346" s="1">
        <v>45572</v>
      </c>
      <c r="D346" t="s">
        <v>7</v>
      </c>
      <c r="E346" t="s">
        <v>8</v>
      </c>
      <c r="F346">
        <f t="shared" ca="1" si="15"/>
        <v>22</v>
      </c>
      <c r="G346" t="str">
        <f t="shared" ca="1" si="16"/>
        <v>2. 1-3yr</v>
      </c>
      <c r="H346">
        <f t="shared" si="17"/>
        <v>0</v>
      </c>
    </row>
    <row r="347" spans="1:8" x14ac:dyDescent="0.3">
      <c r="A347">
        <v>1709</v>
      </c>
      <c r="B347" t="s">
        <v>9</v>
      </c>
      <c r="C347" s="1">
        <v>46085</v>
      </c>
      <c r="D347" t="s">
        <v>7</v>
      </c>
      <c r="E347" t="s">
        <v>8</v>
      </c>
      <c r="F347">
        <f t="shared" ca="1" si="15"/>
        <v>5</v>
      </c>
      <c r="G347" t="str">
        <f t="shared" ca="1" si="16"/>
        <v>1. &lt;1yr</v>
      </c>
      <c r="H347">
        <f t="shared" si="17"/>
        <v>0</v>
      </c>
    </row>
    <row r="348" spans="1:8" x14ac:dyDescent="0.3">
      <c r="A348">
        <v>1716</v>
      </c>
      <c r="B348" t="s">
        <v>9</v>
      </c>
      <c r="C348" s="1">
        <v>45341</v>
      </c>
      <c r="D348" t="s">
        <v>7</v>
      </c>
      <c r="E348" t="s">
        <v>8</v>
      </c>
      <c r="F348">
        <f t="shared" ca="1" si="15"/>
        <v>29</v>
      </c>
      <c r="G348" t="str">
        <f t="shared" ca="1" si="16"/>
        <v>2. 1-3yr</v>
      </c>
      <c r="H348">
        <f t="shared" si="17"/>
        <v>0</v>
      </c>
    </row>
    <row r="349" spans="1:8" x14ac:dyDescent="0.3">
      <c r="A349">
        <v>1722</v>
      </c>
      <c r="B349" t="s">
        <v>9</v>
      </c>
      <c r="C349" s="1">
        <v>45993</v>
      </c>
      <c r="D349" t="s">
        <v>7</v>
      </c>
      <c r="E349" t="s">
        <v>8</v>
      </c>
      <c r="F349">
        <f t="shared" ca="1" si="15"/>
        <v>8</v>
      </c>
      <c r="G349" t="str">
        <f t="shared" ca="1" si="16"/>
        <v>1. &lt;1yr</v>
      </c>
      <c r="H349">
        <f t="shared" si="17"/>
        <v>0</v>
      </c>
    </row>
    <row r="350" spans="1:8" x14ac:dyDescent="0.3">
      <c r="A350">
        <v>1734</v>
      </c>
      <c r="B350" t="s">
        <v>9</v>
      </c>
      <c r="C350" s="1">
        <v>45877</v>
      </c>
      <c r="D350" t="s">
        <v>7</v>
      </c>
      <c r="E350" t="s">
        <v>8</v>
      </c>
      <c r="F350">
        <f t="shared" ca="1" si="15"/>
        <v>12</v>
      </c>
      <c r="G350" t="str">
        <f t="shared" ca="1" si="16"/>
        <v>2. 1-3yr</v>
      </c>
      <c r="H350">
        <f t="shared" si="17"/>
        <v>0</v>
      </c>
    </row>
    <row r="351" spans="1:8" x14ac:dyDescent="0.3">
      <c r="A351">
        <v>1735</v>
      </c>
      <c r="B351" t="s">
        <v>9</v>
      </c>
      <c r="C351" s="1">
        <v>46138</v>
      </c>
      <c r="D351" t="s">
        <v>6</v>
      </c>
      <c r="E351" s="1">
        <v>46168</v>
      </c>
      <c r="F351">
        <f t="shared" ca="1" si="15"/>
        <v>1</v>
      </c>
      <c r="G351" t="str">
        <f t="shared" ca="1" si="16"/>
        <v>1. &lt;1yr</v>
      </c>
      <c r="H351">
        <f t="shared" si="17"/>
        <v>1</v>
      </c>
    </row>
    <row r="352" spans="1:8" x14ac:dyDescent="0.3">
      <c r="A352">
        <v>1738</v>
      </c>
      <c r="B352" t="s">
        <v>9</v>
      </c>
      <c r="C352" s="1">
        <v>45007</v>
      </c>
      <c r="D352" t="s">
        <v>6</v>
      </c>
      <c r="E352" s="1">
        <v>45484</v>
      </c>
      <c r="F352">
        <f t="shared" ca="1" si="15"/>
        <v>15</v>
      </c>
      <c r="G352" t="str">
        <f t="shared" ca="1" si="16"/>
        <v>2. 1-3yr</v>
      </c>
      <c r="H352">
        <f t="shared" si="17"/>
        <v>1</v>
      </c>
    </row>
    <row r="353" spans="1:8" x14ac:dyDescent="0.3">
      <c r="A353">
        <v>1748</v>
      </c>
      <c r="B353" t="s">
        <v>9</v>
      </c>
      <c r="C353" s="1">
        <v>45210</v>
      </c>
      <c r="D353" t="s">
        <v>7</v>
      </c>
      <c r="E353" t="s">
        <v>8</v>
      </c>
      <c r="F353">
        <f t="shared" ca="1" si="15"/>
        <v>34</v>
      </c>
      <c r="G353" t="str">
        <f t="shared" ca="1" si="16"/>
        <v>2. 1-3yr</v>
      </c>
      <c r="H353">
        <f t="shared" si="17"/>
        <v>0</v>
      </c>
    </row>
    <row r="354" spans="1:8" x14ac:dyDescent="0.3">
      <c r="A354">
        <v>1750</v>
      </c>
      <c r="B354" t="s">
        <v>9</v>
      </c>
      <c r="C354" s="1">
        <v>45817</v>
      </c>
      <c r="D354" t="s">
        <v>7</v>
      </c>
      <c r="E354" t="s">
        <v>8</v>
      </c>
      <c r="F354">
        <f t="shared" ca="1" si="15"/>
        <v>14</v>
      </c>
      <c r="G354" t="str">
        <f t="shared" ca="1" si="16"/>
        <v>2. 1-3yr</v>
      </c>
      <c r="H354">
        <f t="shared" si="17"/>
        <v>0</v>
      </c>
    </row>
    <row r="355" spans="1:8" x14ac:dyDescent="0.3">
      <c r="A355">
        <v>1759</v>
      </c>
      <c r="B355" t="s">
        <v>9</v>
      </c>
      <c r="C355" s="1">
        <v>45034</v>
      </c>
      <c r="D355" t="s">
        <v>7</v>
      </c>
      <c r="E355" t="s">
        <v>8</v>
      </c>
      <c r="F355">
        <f t="shared" ca="1" si="15"/>
        <v>40</v>
      </c>
      <c r="G355" t="str">
        <f t="shared" ca="1" si="16"/>
        <v>3. 3-5yr</v>
      </c>
      <c r="H355">
        <f t="shared" si="17"/>
        <v>0</v>
      </c>
    </row>
    <row r="356" spans="1:8" x14ac:dyDescent="0.3">
      <c r="A356">
        <v>1772</v>
      </c>
      <c r="B356" t="s">
        <v>9</v>
      </c>
      <c r="C356" s="1">
        <v>45723</v>
      </c>
      <c r="D356" t="s">
        <v>7</v>
      </c>
      <c r="E356" t="s">
        <v>8</v>
      </c>
      <c r="F356">
        <f t="shared" ca="1" si="15"/>
        <v>17</v>
      </c>
      <c r="G356" t="str">
        <f t="shared" ca="1" si="16"/>
        <v>2. 1-3yr</v>
      </c>
      <c r="H356">
        <f t="shared" si="17"/>
        <v>0</v>
      </c>
    </row>
    <row r="357" spans="1:8" x14ac:dyDescent="0.3">
      <c r="A357">
        <v>1775</v>
      </c>
      <c r="B357" t="s">
        <v>9</v>
      </c>
      <c r="C357" s="1">
        <v>45794</v>
      </c>
      <c r="D357" t="s">
        <v>7</v>
      </c>
      <c r="E357" t="s">
        <v>8</v>
      </c>
      <c r="F357">
        <f t="shared" ca="1" si="15"/>
        <v>15</v>
      </c>
      <c r="G357" t="str">
        <f t="shared" ca="1" si="16"/>
        <v>2. 1-3yr</v>
      </c>
      <c r="H357">
        <f t="shared" si="17"/>
        <v>0</v>
      </c>
    </row>
    <row r="358" spans="1:8" x14ac:dyDescent="0.3">
      <c r="A358">
        <v>1782</v>
      </c>
      <c r="B358" t="s">
        <v>9</v>
      </c>
      <c r="C358" s="1">
        <v>44754</v>
      </c>
      <c r="D358" t="s">
        <v>7</v>
      </c>
      <c r="E358" t="s">
        <v>8</v>
      </c>
      <c r="F358">
        <f t="shared" ca="1" si="15"/>
        <v>49</v>
      </c>
      <c r="G358" t="str">
        <f t="shared" ca="1" si="16"/>
        <v>3. 3-5yr</v>
      </c>
      <c r="H358">
        <f t="shared" si="17"/>
        <v>0</v>
      </c>
    </row>
    <row r="359" spans="1:8" x14ac:dyDescent="0.3">
      <c r="A359">
        <v>1783</v>
      </c>
      <c r="B359" t="s">
        <v>9</v>
      </c>
      <c r="C359" s="1">
        <v>46195</v>
      </c>
      <c r="D359" t="s">
        <v>7</v>
      </c>
      <c r="E359" t="s">
        <v>8</v>
      </c>
      <c r="F359">
        <f t="shared" ca="1" si="15"/>
        <v>1</v>
      </c>
      <c r="G359" t="str">
        <f t="shared" ca="1" si="16"/>
        <v>1. &lt;1yr</v>
      </c>
      <c r="H359">
        <f t="shared" si="17"/>
        <v>0</v>
      </c>
    </row>
    <row r="360" spans="1:8" x14ac:dyDescent="0.3">
      <c r="A360">
        <v>1793</v>
      </c>
      <c r="B360" t="s">
        <v>9</v>
      </c>
      <c r="C360" s="1">
        <v>44973</v>
      </c>
      <c r="D360" t="s">
        <v>7</v>
      </c>
      <c r="E360" t="s">
        <v>8</v>
      </c>
      <c r="F360">
        <f t="shared" ca="1" si="15"/>
        <v>42</v>
      </c>
      <c r="G360" t="str">
        <f t="shared" ca="1" si="16"/>
        <v>3. 3-5yr</v>
      </c>
      <c r="H360">
        <f t="shared" si="17"/>
        <v>0</v>
      </c>
    </row>
    <row r="361" spans="1:8" x14ac:dyDescent="0.3">
      <c r="A361">
        <v>1803</v>
      </c>
      <c r="B361" t="s">
        <v>9</v>
      </c>
      <c r="C361" s="1">
        <v>45380</v>
      </c>
      <c r="D361" t="s">
        <v>7</v>
      </c>
      <c r="E361" t="s">
        <v>8</v>
      </c>
      <c r="F361">
        <f t="shared" ca="1" si="15"/>
        <v>28</v>
      </c>
      <c r="G361" t="str">
        <f t="shared" ca="1" si="16"/>
        <v>2. 1-3yr</v>
      </c>
      <c r="H361">
        <f t="shared" si="17"/>
        <v>0</v>
      </c>
    </row>
    <row r="362" spans="1:8" x14ac:dyDescent="0.3">
      <c r="A362">
        <v>1808</v>
      </c>
      <c r="B362" t="s">
        <v>9</v>
      </c>
      <c r="C362" s="1">
        <v>45909</v>
      </c>
      <c r="D362" t="s">
        <v>7</v>
      </c>
      <c r="E362" t="s">
        <v>8</v>
      </c>
      <c r="F362">
        <f t="shared" ca="1" si="15"/>
        <v>11</v>
      </c>
      <c r="G362" t="str">
        <f t="shared" ca="1" si="16"/>
        <v>1. &lt;1yr</v>
      </c>
      <c r="H362">
        <f t="shared" si="17"/>
        <v>0</v>
      </c>
    </row>
    <row r="363" spans="1:8" x14ac:dyDescent="0.3">
      <c r="A363">
        <v>1829</v>
      </c>
      <c r="B363" t="s">
        <v>9</v>
      </c>
      <c r="C363" s="1">
        <v>44855</v>
      </c>
      <c r="D363" t="s">
        <v>7</v>
      </c>
      <c r="E363" t="s">
        <v>8</v>
      </c>
      <c r="F363">
        <f t="shared" ca="1" si="15"/>
        <v>45</v>
      </c>
      <c r="G363" t="str">
        <f t="shared" ca="1" si="16"/>
        <v>3. 3-5yr</v>
      </c>
      <c r="H363">
        <f t="shared" si="17"/>
        <v>0</v>
      </c>
    </row>
    <row r="364" spans="1:8" x14ac:dyDescent="0.3">
      <c r="A364">
        <v>1849</v>
      </c>
      <c r="B364" t="s">
        <v>9</v>
      </c>
      <c r="C364" s="1">
        <v>45153</v>
      </c>
      <c r="D364" t="s">
        <v>6</v>
      </c>
      <c r="E364" s="1">
        <v>45905</v>
      </c>
      <c r="F364">
        <f t="shared" ca="1" si="15"/>
        <v>24</v>
      </c>
      <c r="G364" t="str">
        <f t="shared" ca="1" si="16"/>
        <v>2. 1-3yr</v>
      </c>
      <c r="H364">
        <f t="shared" si="17"/>
        <v>1</v>
      </c>
    </row>
    <row r="365" spans="1:8" x14ac:dyDescent="0.3">
      <c r="A365">
        <v>1856</v>
      </c>
      <c r="B365" t="s">
        <v>9</v>
      </c>
      <c r="C365" s="1">
        <v>45892</v>
      </c>
      <c r="D365" t="s">
        <v>6</v>
      </c>
      <c r="E365" s="1">
        <v>45922</v>
      </c>
      <c r="F365">
        <f t="shared" ca="1" si="15"/>
        <v>0</v>
      </c>
      <c r="G365" t="str">
        <f t="shared" ca="1" si="16"/>
        <v>1. &lt;1yr</v>
      </c>
      <c r="H365">
        <f t="shared" si="17"/>
        <v>1</v>
      </c>
    </row>
    <row r="366" spans="1:8" x14ac:dyDescent="0.3">
      <c r="A366">
        <v>1862</v>
      </c>
      <c r="B366" t="s">
        <v>9</v>
      </c>
      <c r="C366" s="1">
        <v>44307</v>
      </c>
      <c r="D366" t="s">
        <v>7</v>
      </c>
      <c r="E366" t="s">
        <v>8</v>
      </c>
      <c r="F366">
        <f t="shared" ca="1" si="15"/>
        <v>63</v>
      </c>
      <c r="G366" t="str">
        <f t="shared" ca="1" si="16"/>
        <v>4. 5+yr</v>
      </c>
      <c r="H366">
        <f t="shared" si="17"/>
        <v>0</v>
      </c>
    </row>
    <row r="367" spans="1:8" x14ac:dyDescent="0.3">
      <c r="A367">
        <v>1863</v>
      </c>
      <c r="B367" t="s">
        <v>9</v>
      </c>
      <c r="C367" s="1">
        <v>45623</v>
      </c>
      <c r="D367" t="s">
        <v>7</v>
      </c>
      <c r="E367" t="s">
        <v>8</v>
      </c>
      <c r="F367">
        <f t="shared" ca="1" si="15"/>
        <v>20</v>
      </c>
      <c r="G367" t="str">
        <f t="shared" ca="1" si="16"/>
        <v>2. 1-3yr</v>
      </c>
      <c r="H367">
        <f t="shared" si="17"/>
        <v>0</v>
      </c>
    </row>
    <row r="368" spans="1:8" x14ac:dyDescent="0.3">
      <c r="A368">
        <v>1021</v>
      </c>
      <c r="B368" t="s">
        <v>10</v>
      </c>
      <c r="C368" s="1">
        <v>45020</v>
      </c>
      <c r="D368" t="s">
        <v>6</v>
      </c>
      <c r="E368" s="1">
        <v>45442</v>
      </c>
      <c r="F368">
        <f t="shared" ca="1" si="15"/>
        <v>13</v>
      </c>
      <c r="G368" t="str">
        <f t="shared" ca="1" si="16"/>
        <v>2. 1-3yr</v>
      </c>
      <c r="H368">
        <f t="shared" si="17"/>
        <v>1</v>
      </c>
    </row>
    <row r="369" spans="1:8" x14ac:dyDescent="0.3">
      <c r="A369">
        <v>1043</v>
      </c>
      <c r="B369" t="s">
        <v>10</v>
      </c>
      <c r="C369" s="1">
        <v>45697</v>
      </c>
      <c r="D369" t="s">
        <v>7</v>
      </c>
      <c r="E369" t="s">
        <v>8</v>
      </c>
      <c r="F369">
        <f t="shared" ca="1" si="15"/>
        <v>18</v>
      </c>
      <c r="G369" t="str">
        <f t="shared" ca="1" si="16"/>
        <v>2. 1-3yr</v>
      </c>
      <c r="H369">
        <f t="shared" si="17"/>
        <v>0</v>
      </c>
    </row>
    <row r="370" spans="1:8" x14ac:dyDescent="0.3">
      <c r="A370">
        <v>1050</v>
      </c>
      <c r="B370" t="s">
        <v>10</v>
      </c>
      <c r="C370" s="1">
        <v>45896</v>
      </c>
      <c r="D370" t="s">
        <v>6</v>
      </c>
      <c r="E370" s="1">
        <v>45926</v>
      </c>
      <c r="F370">
        <f t="shared" ca="1" si="15"/>
        <v>0</v>
      </c>
      <c r="G370" t="str">
        <f t="shared" ca="1" si="16"/>
        <v>1. &lt;1yr</v>
      </c>
      <c r="H370">
        <f t="shared" si="17"/>
        <v>1</v>
      </c>
    </row>
    <row r="371" spans="1:8" x14ac:dyDescent="0.3">
      <c r="A371">
        <v>1059</v>
      </c>
      <c r="B371" t="s">
        <v>10</v>
      </c>
      <c r="C371" s="1">
        <v>45801</v>
      </c>
      <c r="D371" t="s">
        <v>7</v>
      </c>
      <c r="E371" t="s">
        <v>8</v>
      </c>
      <c r="F371">
        <f t="shared" ca="1" si="15"/>
        <v>14</v>
      </c>
      <c r="G371" t="str">
        <f t="shared" ca="1" si="16"/>
        <v>2. 1-3yr</v>
      </c>
      <c r="H371">
        <f t="shared" si="17"/>
        <v>0</v>
      </c>
    </row>
    <row r="372" spans="1:8" x14ac:dyDescent="0.3">
      <c r="A372">
        <v>1078</v>
      </c>
      <c r="B372" t="s">
        <v>10</v>
      </c>
      <c r="C372" s="1">
        <v>45061</v>
      </c>
      <c r="D372" t="s">
        <v>7</v>
      </c>
      <c r="E372" t="s">
        <v>8</v>
      </c>
      <c r="F372">
        <f t="shared" ca="1" si="15"/>
        <v>39</v>
      </c>
      <c r="G372" t="str">
        <f t="shared" ca="1" si="16"/>
        <v>3. 3-5yr</v>
      </c>
      <c r="H372">
        <f t="shared" si="17"/>
        <v>0</v>
      </c>
    </row>
    <row r="373" spans="1:8" x14ac:dyDescent="0.3">
      <c r="A373">
        <v>1144</v>
      </c>
      <c r="B373" t="s">
        <v>10</v>
      </c>
      <c r="C373" s="1">
        <v>44962</v>
      </c>
      <c r="D373" t="s">
        <v>6</v>
      </c>
      <c r="E373" s="1">
        <v>45923</v>
      </c>
      <c r="F373">
        <f t="shared" ca="1" si="15"/>
        <v>31</v>
      </c>
      <c r="G373" t="str">
        <f t="shared" ca="1" si="16"/>
        <v>2. 1-3yr</v>
      </c>
      <c r="H373">
        <f t="shared" si="17"/>
        <v>1</v>
      </c>
    </row>
    <row r="374" spans="1:8" x14ac:dyDescent="0.3">
      <c r="A374">
        <v>1149</v>
      </c>
      <c r="B374" t="s">
        <v>10</v>
      </c>
      <c r="C374" s="1">
        <v>45421</v>
      </c>
      <c r="D374" t="s">
        <v>7</v>
      </c>
      <c r="E374" t="s">
        <v>8</v>
      </c>
      <c r="F374">
        <f t="shared" ca="1" si="15"/>
        <v>27</v>
      </c>
      <c r="G374" t="str">
        <f t="shared" ca="1" si="16"/>
        <v>2. 1-3yr</v>
      </c>
      <c r="H374">
        <f t="shared" si="17"/>
        <v>0</v>
      </c>
    </row>
    <row r="375" spans="1:8" x14ac:dyDescent="0.3">
      <c r="A375">
        <v>1173</v>
      </c>
      <c r="B375" t="s">
        <v>10</v>
      </c>
      <c r="C375" s="1">
        <v>45594</v>
      </c>
      <c r="D375" t="s">
        <v>7</v>
      </c>
      <c r="E375" t="s">
        <v>8</v>
      </c>
      <c r="F375">
        <f t="shared" ca="1" si="15"/>
        <v>21</v>
      </c>
      <c r="G375" t="str">
        <f t="shared" ca="1" si="16"/>
        <v>2. 1-3yr</v>
      </c>
      <c r="H375">
        <f t="shared" si="17"/>
        <v>0</v>
      </c>
    </row>
    <row r="376" spans="1:8" x14ac:dyDescent="0.3">
      <c r="A376">
        <v>1174</v>
      </c>
      <c r="B376" t="s">
        <v>10</v>
      </c>
      <c r="C376" s="1">
        <v>45564</v>
      </c>
      <c r="D376" t="s">
        <v>7</v>
      </c>
      <c r="E376" t="s">
        <v>8</v>
      </c>
      <c r="F376">
        <f t="shared" ca="1" si="15"/>
        <v>22</v>
      </c>
      <c r="G376" t="str">
        <f t="shared" ca="1" si="16"/>
        <v>2. 1-3yr</v>
      </c>
      <c r="H376">
        <f t="shared" si="17"/>
        <v>0</v>
      </c>
    </row>
    <row r="377" spans="1:8" x14ac:dyDescent="0.3">
      <c r="A377">
        <v>1196</v>
      </c>
      <c r="B377" t="s">
        <v>10</v>
      </c>
      <c r="C377" s="1">
        <v>45696</v>
      </c>
      <c r="D377" t="s">
        <v>7</v>
      </c>
      <c r="E377" t="s">
        <v>8</v>
      </c>
      <c r="F377">
        <f t="shared" ca="1" si="15"/>
        <v>18</v>
      </c>
      <c r="G377" t="str">
        <f t="shared" ca="1" si="16"/>
        <v>2. 1-3yr</v>
      </c>
      <c r="H377">
        <f t="shared" si="17"/>
        <v>0</v>
      </c>
    </row>
    <row r="378" spans="1:8" x14ac:dyDescent="0.3">
      <c r="A378">
        <v>1205</v>
      </c>
      <c r="B378" t="s">
        <v>10</v>
      </c>
      <c r="C378" s="1">
        <v>45629</v>
      </c>
      <c r="D378" t="s">
        <v>7</v>
      </c>
      <c r="E378" t="s">
        <v>8</v>
      </c>
      <c r="F378">
        <f t="shared" ca="1" si="15"/>
        <v>20</v>
      </c>
      <c r="G378" t="str">
        <f t="shared" ca="1" si="16"/>
        <v>2. 1-3yr</v>
      </c>
      <c r="H378">
        <f t="shared" si="17"/>
        <v>0</v>
      </c>
    </row>
    <row r="379" spans="1:8" x14ac:dyDescent="0.3">
      <c r="A379">
        <v>1207</v>
      </c>
      <c r="B379" t="s">
        <v>10</v>
      </c>
      <c r="C379" s="1">
        <v>45313</v>
      </c>
      <c r="D379" t="s">
        <v>7</v>
      </c>
      <c r="E379" t="s">
        <v>8</v>
      </c>
      <c r="F379">
        <f t="shared" ca="1" si="15"/>
        <v>30</v>
      </c>
      <c r="G379" t="str">
        <f t="shared" ca="1" si="16"/>
        <v>2. 1-3yr</v>
      </c>
      <c r="H379">
        <f t="shared" si="17"/>
        <v>0</v>
      </c>
    </row>
    <row r="380" spans="1:8" x14ac:dyDescent="0.3">
      <c r="A380">
        <v>1212</v>
      </c>
      <c r="B380" t="s">
        <v>10</v>
      </c>
      <c r="C380" s="1">
        <v>45076</v>
      </c>
      <c r="D380" t="s">
        <v>7</v>
      </c>
      <c r="E380" t="s">
        <v>8</v>
      </c>
      <c r="F380">
        <f t="shared" ca="1" si="15"/>
        <v>38</v>
      </c>
      <c r="G380" t="str">
        <f t="shared" ca="1" si="16"/>
        <v>3. 3-5yr</v>
      </c>
      <c r="H380">
        <f t="shared" si="17"/>
        <v>0</v>
      </c>
    </row>
    <row r="381" spans="1:8" x14ac:dyDescent="0.3">
      <c r="A381">
        <v>1257</v>
      </c>
      <c r="B381" t="s">
        <v>10</v>
      </c>
      <c r="C381" s="1">
        <v>43992</v>
      </c>
      <c r="D381" t="s">
        <v>6</v>
      </c>
      <c r="E381" s="1">
        <v>44739</v>
      </c>
      <c r="F381">
        <f t="shared" ca="1" si="15"/>
        <v>24</v>
      </c>
      <c r="G381" t="str">
        <f t="shared" ca="1" si="16"/>
        <v>2. 1-3yr</v>
      </c>
      <c r="H381">
        <f t="shared" si="17"/>
        <v>1</v>
      </c>
    </row>
    <row r="382" spans="1:8" x14ac:dyDescent="0.3">
      <c r="A382">
        <v>1271</v>
      </c>
      <c r="B382" t="s">
        <v>10</v>
      </c>
      <c r="C382" s="1">
        <v>45811</v>
      </c>
      <c r="D382" t="s">
        <v>6</v>
      </c>
      <c r="E382" s="1">
        <v>45973</v>
      </c>
      <c r="F382">
        <f t="shared" ca="1" si="15"/>
        <v>5</v>
      </c>
      <c r="G382" t="str">
        <f t="shared" ca="1" si="16"/>
        <v>1. &lt;1yr</v>
      </c>
      <c r="H382">
        <f t="shared" si="17"/>
        <v>1</v>
      </c>
    </row>
    <row r="383" spans="1:8" x14ac:dyDescent="0.3">
      <c r="A383">
        <v>1303</v>
      </c>
      <c r="B383" t="s">
        <v>10</v>
      </c>
      <c r="C383" s="1">
        <v>46121</v>
      </c>
      <c r="D383" t="s">
        <v>7</v>
      </c>
      <c r="E383" t="s">
        <v>8</v>
      </c>
      <c r="F383">
        <f t="shared" ca="1" si="15"/>
        <v>4</v>
      </c>
      <c r="G383" t="str">
        <f t="shared" ca="1" si="16"/>
        <v>1. &lt;1yr</v>
      </c>
      <c r="H383">
        <f t="shared" si="17"/>
        <v>0</v>
      </c>
    </row>
    <row r="384" spans="1:8" x14ac:dyDescent="0.3">
      <c r="A384">
        <v>1310</v>
      </c>
      <c r="B384" t="s">
        <v>10</v>
      </c>
      <c r="C384" s="1">
        <v>45879</v>
      </c>
      <c r="D384" t="s">
        <v>7</v>
      </c>
      <c r="E384" t="s">
        <v>8</v>
      </c>
      <c r="F384">
        <f t="shared" ca="1" si="15"/>
        <v>12</v>
      </c>
      <c r="G384" t="str">
        <f t="shared" ca="1" si="16"/>
        <v>2. 1-3yr</v>
      </c>
      <c r="H384">
        <f t="shared" si="17"/>
        <v>0</v>
      </c>
    </row>
    <row r="385" spans="1:8" x14ac:dyDescent="0.3">
      <c r="A385">
        <v>1328</v>
      </c>
      <c r="B385" t="s">
        <v>10</v>
      </c>
      <c r="C385" s="1">
        <v>46187</v>
      </c>
      <c r="D385" t="s">
        <v>7</v>
      </c>
      <c r="E385" t="s">
        <v>8</v>
      </c>
      <c r="F385">
        <f t="shared" ca="1" si="15"/>
        <v>2</v>
      </c>
      <c r="G385" t="str">
        <f t="shared" ca="1" si="16"/>
        <v>1. &lt;1yr</v>
      </c>
      <c r="H385">
        <f t="shared" si="17"/>
        <v>0</v>
      </c>
    </row>
    <row r="386" spans="1:8" x14ac:dyDescent="0.3">
      <c r="A386">
        <v>1344</v>
      </c>
      <c r="B386" t="s">
        <v>10</v>
      </c>
      <c r="C386" s="1">
        <v>45602</v>
      </c>
      <c r="D386" t="s">
        <v>6</v>
      </c>
      <c r="E386" s="1">
        <v>45788</v>
      </c>
      <c r="F386">
        <f t="shared" ca="1" si="15"/>
        <v>6</v>
      </c>
      <c r="G386" t="str">
        <f t="shared" ca="1" si="16"/>
        <v>1. &lt;1yr</v>
      </c>
      <c r="H386">
        <f t="shared" si="17"/>
        <v>1</v>
      </c>
    </row>
    <row r="387" spans="1:8" x14ac:dyDescent="0.3">
      <c r="A387">
        <v>1345</v>
      </c>
      <c r="B387" t="s">
        <v>10</v>
      </c>
      <c r="C387" s="1">
        <v>45148</v>
      </c>
      <c r="D387" t="s">
        <v>6</v>
      </c>
      <c r="E387" s="1">
        <v>45905</v>
      </c>
      <c r="F387">
        <f t="shared" ref="F387:F450" ca="1" si="18">DATEDIF(C387, IF(OR(E387="",E387="NULL"), TODAY(), E387), "m")</f>
        <v>24</v>
      </c>
      <c r="G387" t="str">
        <f t="shared" ref="G387:G450" ca="1" si="19">IF(F387&lt;12,"1. &lt;1yr",IF(F387&lt;36,"2. 1-3yr",IF(F387&lt;60,"3. 3-5yr","4. 5+yr")))</f>
        <v>2. 1-3yr</v>
      </c>
      <c r="H387">
        <f t="shared" ref="H387:H450" si="20">IF(D387="Yes",1,0)</f>
        <v>1</v>
      </c>
    </row>
    <row r="388" spans="1:8" x14ac:dyDescent="0.3">
      <c r="A388">
        <v>1351</v>
      </c>
      <c r="B388" t="s">
        <v>10</v>
      </c>
      <c r="C388" s="1">
        <v>45121</v>
      </c>
      <c r="D388" t="s">
        <v>7</v>
      </c>
      <c r="E388" t="s">
        <v>8</v>
      </c>
      <c r="F388">
        <f t="shared" ca="1" si="18"/>
        <v>37</v>
      </c>
      <c r="G388" t="str">
        <f t="shared" ca="1" si="19"/>
        <v>3. 3-5yr</v>
      </c>
      <c r="H388">
        <f t="shared" si="20"/>
        <v>0</v>
      </c>
    </row>
    <row r="389" spans="1:8" x14ac:dyDescent="0.3">
      <c r="A389">
        <v>1362</v>
      </c>
      <c r="B389" t="s">
        <v>10</v>
      </c>
      <c r="C389" s="1">
        <v>45415</v>
      </c>
      <c r="D389" t="s">
        <v>7</v>
      </c>
      <c r="E389" t="s">
        <v>8</v>
      </c>
      <c r="F389">
        <f t="shared" ca="1" si="18"/>
        <v>27</v>
      </c>
      <c r="G389" t="str">
        <f t="shared" ca="1" si="19"/>
        <v>2. 1-3yr</v>
      </c>
      <c r="H389">
        <f t="shared" si="20"/>
        <v>0</v>
      </c>
    </row>
    <row r="390" spans="1:8" x14ac:dyDescent="0.3">
      <c r="A390">
        <v>1388</v>
      </c>
      <c r="B390" t="s">
        <v>10</v>
      </c>
      <c r="C390" s="1">
        <v>44484</v>
      </c>
      <c r="D390" t="s">
        <v>7</v>
      </c>
      <c r="E390" t="s">
        <v>8</v>
      </c>
      <c r="F390">
        <f t="shared" ca="1" si="18"/>
        <v>58</v>
      </c>
      <c r="G390" t="str">
        <f t="shared" ca="1" si="19"/>
        <v>3. 3-5yr</v>
      </c>
      <c r="H390">
        <f t="shared" si="20"/>
        <v>0</v>
      </c>
    </row>
    <row r="391" spans="1:8" x14ac:dyDescent="0.3">
      <c r="A391">
        <v>1391</v>
      </c>
      <c r="B391" t="s">
        <v>10</v>
      </c>
      <c r="C391" s="1">
        <v>44515</v>
      </c>
      <c r="D391" t="s">
        <v>7</v>
      </c>
      <c r="E391" t="s">
        <v>8</v>
      </c>
      <c r="F391">
        <f t="shared" ca="1" si="18"/>
        <v>57</v>
      </c>
      <c r="G391" t="str">
        <f t="shared" ca="1" si="19"/>
        <v>3. 3-5yr</v>
      </c>
      <c r="H391">
        <f t="shared" si="20"/>
        <v>0</v>
      </c>
    </row>
    <row r="392" spans="1:8" x14ac:dyDescent="0.3">
      <c r="A392">
        <v>1404</v>
      </c>
      <c r="B392" t="s">
        <v>10</v>
      </c>
      <c r="C392" s="1">
        <v>45785</v>
      </c>
      <c r="D392" t="s">
        <v>6</v>
      </c>
      <c r="E392" s="1">
        <v>45960</v>
      </c>
      <c r="F392">
        <f t="shared" ca="1" si="18"/>
        <v>5</v>
      </c>
      <c r="G392" t="str">
        <f t="shared" ca="1" si="19"/>
        <v>1. &lt;1yr</v>
      </c>
      <c r="H392">
        <f t="shared" si="20"/>
        <v>1</v>
      </c>
    </row>
    <row r="393" spans="1:8" x14ac:dyDescent="0.3">
      <c r="A393">
        <v>1408</v>
      </c>
      <c r="B393" t="s">
        <v>10</v>
      </c>
      <c r="C393" s="1">
        <v>44508</v>
      </c>
      <c r="D393" t="s">
        <v>7</v>
      </c>
      <c r="E393" t="s">
        <v>8</v>
      </c>
      <c r="F393">
        <f t="shared" ca="1" si="18"/>
        <v>57</v>
      </c>
      <c r="G393" t="str">
        <f t="shared" ca="1" si="19"/>
        <v>3. 3-5yr</v>
      </c>
      <c r="H393">
        <f t="shared" si="20"/>
        <v>0</v>
      </c>
    </row>
    <row r="394" spans="1:8" x14ac:dyDescent="0.3">
      <c r="A394">
        <v>1409</v>
      </c>
      <c r="B394" t="s">
        <v>10</v>
      </c>
      <c r="C394" s="1">
        <v>45652</v>
      </c>
      <c r="D394" t="s">
        <v>7</v>
      </c>
      <c r="E394" t="s">
        <v>8</v>
      </c>
      <c r="F394">
        <f t="shared" ca="1" si="18"/>
        <v>19</v>
      </c>
      <c r="G394" t="str">
        <f t="shared" ca="1" si="19"/>
        <v>2. 1-3yr</v>
      </c>
      <c r="H394">
        <f t="shared" si="20"/>
        <v>0</v>
      </c>
    </row>
    <row r="395" spans="1:8" x14ac:dyDescent="0.3">
      <c r="A395">
        <v>1415</v>
      </c>
      <c r="B395" t="s">
        <v>10</v>
      </c>
      <c r="C395" s="1">
        <v>45524</v>
      </c>
      <c r="D395" t="s">
        <v>7</v>
      </c>
      <c r="E395" t="s">
        <v>8</v>
      </c>
      <c r="F395">
        <f t="shared" ca="1" si="18"/>
        <v>23</v>
      </c>
      <c r="G395" t="str">
        <f t="shared" ca="1" si="19"/>
        <v>2. 1-3yr</v>
      </c>
      <c r="H395">
        <f t="shared" si="20"/>
        <v>0</v>
      </c>
    </row>
    <row r="396" spans="1:8" x14ac:dyDescent="0.3">
      <c r="A396">
        <v>1430</v>
      </c>
      <c r="B396" t="s">
        <v>10</v>
      </c>
      <c r="C396" s="1">
        <v>45726</v>
      </c>
      <c r="D396" t="s">
        <v>6</v>
      </c>
      <c r="E396" s="1">
        <v>46119</v>
      </c>
      <c r="F396">
        <f t="shared" ca="1" si="18"/>
        <v>12</v>
      </c>
      <c r="G396" t="str">
        <f t="shared" ca="1" si="19"/>
        <v>2. 1-3yr</v>
      </c>
      <c r="H396">
        <f t="shared" si="20"/>
        <v>1</v>
      </c>
    </row>
    <row r="397" spans="1:8" x14ac:dyDescent="0.3">
      <c r="A397">
        <v>1445</v>
      </c>
      <c r="B397" t="s">
        <v>10</v>
      </c>
      <c r="C397" s="1">
        <v>44506</v>
      </c>
      <c r="D397" t="s">
        <v>7</v>
      </c>
      <c r="E397" t="s">
        <v>8</v>
      </c>
      <c r="F397">
        <f t="shared" ca="1" si="18"/>
        <v>57</v>
      </c>
      <c r="G397" t="str">
        <f t="shared" ca="1" si="19"/>
        <v>3. 3-5yr</v>
      </c>
      <c r="H397">
        <f t="shared" si="20"/>
        <v>0</v>
      </c>
    </row>
    <row r="398" spans="1:8" x14ac:dyDescent="0.3">
      <c r="A398">
        <v>1450</v>
      </c>
      <c r="B398" t="s">
        <v>10</v>
      </c>
      <c r="C398" s="1">
        <v>45298</v>
      </c>
      <c r="D398" t="s">
        <v>6</v>
      </c>
      <c r="E398" s="1">
        <v>45575</v>
      </c>
      <c r="F398">
        <f t="shared" ca="1" si="18"/>
        <v>9</v>
      </c>
      <c r="G398" t="str">
        <f t="shared" ca="1" si="19"/>
        <v>1. &lt;1yr</v>
      </c>
      <c r="H398">
        <f t="shared" si="20"/>
        <v>1</v>
      </c>
    </row>
    <row r="399" spans="1:8" x14ac:dyDescent="0.3">
      <c r="A399">
        <v>1465</v>
      </c>
      <c r="B399" t="s">
        <v>10</v>
      </c>
      <c r="C399" s="1">
        <v>44308</v>
      </c>
      <c r="D399" t="s">
        <v>7</v>
      </c>
      <c r="E399" t="s">
        <v>8</v>
      </c>
      <c r="F399">
        <f t="shared" ca="1" si="18"/>
        <v>63</v>
      </c>
      <c r="G399" t="str">
        <f t="shared" ca="1" si="19"/>
        <v>4. 5+yr</v>
      </c>
      <c r="H399">
        <f t="shared" si="20"/>
        <v>0</v>
      </c>
    </row>
    <row r="400" spans="1:8" x14ac:dyDescent="0.3">
      <c r="A400">
        <v>1470</v>
      </c>
      <c r="B400" t="s">
        <v>10</v>
      </c>
      <c r="C400" s="1">
        <v>44953</v>
      </c>
      <c r="D400" t="s">
        <v>7</v>
      </c>
      <c r="E400" t="s">
        <v>8</v>
      </c>
      <c r="F400">
        <f t="shared" ca="1" si="18"/>
        <v>42</v>
      </c>
      <c r="G400" t="str">
        <f t="shared" ca="1" si="19"/>
        <v>3. 3-5yr</v>
      </c>
      <c r="H400">
        <f t="shared" si="20"/>
        <v>0</v>
      </c>
    </row>
    <row r="401" spans="1:8" x14ac:dyDescent="0.3">
      <c r="A401">
        <v>1478</v>
      </c>
      <c r="B401" t="s">
        <v>10</v>
      </c>
      <c r="C401" s="1">
        <v>45695</v>
      </c>
      <c r="D401" t="s">
        <v>7</v>
      </c>
      <c r="E401" t="s">
        <v>8</v>
      </c>
      <c r="F401">
        <f t="shared" ca="1" si="18"/>
        <v>18</v>
      </c>
      <c r="G401" t="str">
        <f t="shared" ca="1" si="19"/>
        <v>2. 1-3yr</v>
      </c>
      <c r="H401">
        <f t="shared" si="20"/>
        <v>0</v>
      </c>
    </row>
    <row r="402" spans="1:8" x14ac:dyDescent="0.3">
      <c r="A402">
        <v>1506</v>
      </c>
      <c r="B402" t="s">
        <v>10</v>
      </c>
      <c r="C402" s="1">
        <v>45340</v>
      </c>
      <c r="D402" t="s">
        <v>7</v>
      </c>
      <c r="E402" t="s">
        <v>8</v>
      </c>
      <c r="F402">
        <f t="shared" ca="1" si="18"/>
        <v>30</v>
      </c>
      <c r="G402" t="str">
        <f t="shared" ca="1" si="19"/>
        <v>2. 1-3yr</v>
      </c>
      <c r="H402">
        <f t="shared" si="20"/>
        <v>0</v>
      </c>
    </row>
    <row r="403" spans="1:8" x14ac:dyDescent="0.3">
      <c r="A403">
        <v>1515</v>
      </c>
      <c r="B403" t="s">
        <v>10</v>
      </c>
      <c r="C403" s="1">
        <v>45138</v>
      </c>
      <c r="D403" t="s">
        <v>7</v>
      </c>
      <c r="E403" t="s">
        <v>8</v>
      </c>
      <c r="F403">
        <f t="shared" ca="1" si="18"/>
        <v>36</v>
      </c>
      <c r="G403" t="str">
        <f t="shared" ca="1" si="19"/>
        <v>3. 3-5yr</v>
      </c>
      <c r="H403">
        <f t="shared" si="20"/>
        <v>0</v>
      </c>
    </row>
    <row r="404" spans="1:8" x14ac:dyDescent="0.3">
      <c r="A404">
        <v>1520</v>
      </c>
      <c r="B404" t="s">
        <v>10</v>
      </c>
      <c r="C404" s="1">
        <v>45423</v>
      </c>
      <c r="D404" t="s">
        <v>7</v>
      </c>
      <c r="E404" t="s">
        <v>8</v>
      </c>
      <c r="F404">
        <f t="shared" ca="1" si="18"/>
        <v>27</v>
      </c>
      <c r="G404" t="str">
        <f t="shared" ca="1" si="19"/>
        <v>2. 1-3yr</v>
      </c>
      <c r="H404">
        <f t="shared" si="20"/>
        <v>0</v>
      </c>
    </row>
    <row r="405" spans="1:8" x14ac:dyDescent="0.3">
      <c r="A405">
        <v>1535</v>
      </c>
      <c r="B405" t="s">
        <v>10</v>
      </c>
      <c r="C405" s="1">
        <v>45174</v>
      </c>
      <c r="D405" t="s">
        <v>7</v>
      </c>
      <c r="E405" t="s">
        <v>8</v>
      </c>
      <c r="F405">
        <f t="shared" ca="1" si="18"/>
        <v>35</v>
      </c>
      <c r="G405" t="str">
        <f t="shared" ca="1" si="19"/>
        <v>2. 1-3yr</v>
      </c>
      <c r="H405">
        <f t="shared" si="20"/>
        <v>0</v>
      </c>
    </row>
    <row r="406" spans="1:8" x14ac:dyDescent="0.3">
      <c r="A406">
        <v>1571</v>
      </c>
      <c r="B406" t="s">
        <v>10</v>
      </c>
      <c r="C406" s="1">
        <v>45648</v>
      </c>
      <c r="D406" t="s">
        <v>7</v>
      </c>
      <c r="E406" t="s">
        <v>8</v>
      </c>
      <c r="F406">
        <f t="shared" ca="1" si="18"/>
        <v>19</v>
      </c>
      <c r="G406" t="str">
        <f t="shared" ca="1" si="19"/>
        <v>2. 1-3yr</v>
      </c>
      <c r="H406">
        <f t="shared" si="20"/>
        <v>0</v>
      </c>
    </row>
    <row r="407" spans="1:8" x14ac:dyDescent="0.3">
      <c r="A407">
        <v>1575</v>
      </c>
      <c r="B407" t="s">
        <v>10</v>
      </c>
      <c r="C407" s="1">
        <v>45177</v>
      </c>
      <c r="D407" t="s">
        <v>7</v>
      </c>
      <c r="E407" t="s">
        <v>8</v>
      </c>
      <c r="F407">
        <f t="shared" ca="1" si="18"/>
        <v>35</v>
      </c>
      <c r="G407" t="str">
        <f t="shared" ca="1" si="19"/>
        <v>2. 1-3yr</v>
      </c>
      <c r="H407">
        <f t="shared" si="20"/>
        <v>0</v>
      </c>
    </row>
    <row r="408" spans="1:8" x14ac:dyDescent="0.3">
      <c r="A408">
        <v>1591</v>
      </c>
      <c r="B408" t="s">
        <v>10</v>
      </c>
      <c r="C408" s="1">
        <v>46177</v>
      </c>
      <c r="D408" t="s">
        <v>7</v>
      </c>
      <c r="E408" t="s">
        <v>8</v>
      </c>
      <c r="F408">
        <f t="shared" ca="1" si="18"/>
        <v>2</v>
      </c>
      <c r="G408" t="str">
        <f t="shared" ca="1" si="19"/>
        <v>1. &lt;1yr</v>
      </c>
      <c r="H408">
        <f t="shared" si="20"/>
        <v>0</v>
      </c>
    </row>
    <row r="409" spans="1:8" x14ac:dyDescent="0.3">
      <c r="A409">
        <v>1594</v>
      </c>
      <c r="B409" t="s">
        <v>10</v>
      </c>
      <c r="C409" s="1">
        <v>45669</v>
      </c>
      <c r="D409" t="s">
        <v>7</v>
      </c>
      <c r="E409" t="s">
        <v>8</v>
      </c>
      <c r="F409">
        <f t="shared" ca="1" si="18"/>
        <v>19</v>
      </c>
      <c r="G409" t="str">
        <f t="shared" ca="1" si="19"/>
        <v>2. 1-3yr</v>
      </c>
      <c r="H409">
        <f t="shared" si="20"/>
        <v>0</v>
      </c>
    </row>
    <row r="410" spans="1:8" x14ac:dyDescent="0.3">
      <c r="A410">
        <v>1618</v>
      </c>
      <c r="B410" t="s">
        <v>10</v>
      </c>
      <c r="C410" s="1">
        <v>46181</v>
      </c>
      <c r="D410" t="s">
        <v>6</v>
      </c>
      <c r="E410" s="1">
        <v>46211</v>
      </c>
      <c r="F410">
        <f t="shared" ca="1" si="18"/>
        <v>1</v>
      </c>
      <c r="G410" t="str">
        <f t="shared" ca="1" si="19"/>
        <v>1. &lt;1yr</v>
      </c>
      <c r="H410">
        <f t="shared" si="20"/>
        <v>1</v>
      </c>
    </row>
    <row r="411" spans="1:8" x14ac:dyDescent="0.3">
      <c r="A411">
        <v>1634</v>
      </c>
      <c r="B411" t="s">
        <v>10</v>
      </c>
      <c r="C411" s="1">
        <v>45186</v>
      </c>
      <c r="D411" t="s">
        <v>7</v>
      </c>
      <c r="E411" t="s">
        <v>8</v>
      </c>
      <c r="F411">
        <f t="shared" ca="1" si="18"/>
        <v>35</v>
      </c>
      <c r="G411" t="str">
        <f t="shared" ca="1" si="19"/>
        <v>2. 1-3yr</v>
      </c>
      <c r="H411">
        <f t="shared" si="20"/>
        <v>0</v>
      </c>
    </row>
    <row r="412" spans="1:8" x14ac:dyDescent="0.3">
      <c r="A412">
        <v>1643</v>
      </c>
      <c r="B412" t="s">
        <v>10</v>
      </c>
      <c r="C412" s="1">
        <v>43896</v>
      </c>
      <c r="D412" t="s">
        <v>7</v>
      </c>
      <c r="E412" t="s">
        <v>8</v>
      </c>
      <c r="F412">
        <f t="shared" ca="1" si="18"/>
        <v>77</v>
      </c>
      <c r="G412" t="str">
        <f t="shared" ca="1" si="19"/>
        <v>4. 5+yr</v>
      </c>
      <c r="H412">
        <f t="shared" si="20"/>
        <v>0</v>
      </c>
    </row>
    <row r="413" spans="1:8" x14ac:dyDescent="0.3">
      <c r="A413">
        <v>1665</v>
      </c>
      <c r="B413" t="s">
        <v>10</v>
      </c>
      <c r="C413" s="1">
        <v>46087</v>
      </c>
      <c r="D413" t="s">
        <v>7</v>
      </c>
      <c r="E413" t="s">
        <v>8</v>
      </c>
      <c r="F413">
        <f t="shared" ca="1" si="18"/>
        <v>5</v>
      </c>
      <c r="G413" t="str">
        <f t="shared" ca="1" si="19"/>
        <v>1. &lt;1yr</v>
      </c>
      <c r="H413">
        <f t="shared" si="20"/>
        <v>0</v>
      </c>
    </row>
    <row r="414" spans="1:8" x14ac:dyDescent="0.3">
      <c r="A414">
        <v>1670</v>
      </c>
      <c r="B414" t="s">
        <v>10</v>
      </c>
      <c r="C414" s="1">
        <v>46211</v>
      </c>
      <c r="D414" t="s">
        <v>7</v>
      </c>
      <c r="E414" t="s">
        <v>8</v>
      </c>
      <c r="F414">
        <f t="shared" ca="1" si="18"/>
        <v>1</v>
      </c>
      <c r="G414" t="str">
        <f t="shared" ca="1" si="19"/>
        <v>1. &lt;1yr</v>
      </c>
      <c r="H414">
        <f t="shared" si="20"/>
        <v>0</v>
      </c>
    </row>
    <row r="415" spans="1:8" x14ac:dyDescent="0.3">
      <c r="A415">
        <v>1679</v>
      </c>
      <c r="B415" t="s">
        <v>10</v>
      </c>
      <c r="C415" s="1">
        <v>45580</v>
      </c>
      <c r="D415" t="s">
        <v>7</v>
      </c>
      <c r="E415" t="s">
        <v>8</v>
      </c>
      <c r="F415">
        <f t="shared" ca="1" si="18"/>
        <v>22</v>
      </c>
      <c r="G415" t="str">
        <f t="shared" ca="1" si="19"/>
        <v>2. 1-3yr</v>
      </c>
      <c r="H415">
        <f t="shared" si="20"/>
        <v>0</v>
      </c>
    </row>
    <row r="416" spans="1:8" x14ac:dyDescent="0.3">
      <c r="A416">
        <v>1687</v>
      </c>
      <c r="B416" t="s">
        <v>10</v>
      </c>
      <c r="C416" s="1">
        <v>46112</v>
      </c>
      <c r="D416" t="s">
        <v>7</v>
      </c>
      <c r="E416" t="s">
        <v>8</v>
      </c>
      <c r="F416">
        <f t="shared" ca="1" si="18"/>
        <v>4</v>
      </c>
      <c r="G416" t="str">
        <f t="shared" ca="1" si="19"/>
        <v>1. &lt;1yr</v>
      </c>
      <c r="H416">
        <f t="shared" si="20"/>
        <v>0</v>
      </c>
    </row>
    <row r="417" spans="1:8" x14ac:dyDescent="0.3">
      <c r="A417">
        <v>1691</v>
      </c>
      <c r="B417" t="s">
        <v>10</v>
      </c>
      <c r="C417" s="1">
        <v>45406</v>
      </c>
      <c r="D417" t="s">
        <v>7</v>
      </c>
      <c r="E417" t="s">
        <v>8</v>
      </c>
      <c r="F417">
        <f t="shared" ca="1" si="18"/>
        <v>27</v>
      </c>
      <c r="G417" t="str">
        <f t="shared" ca="1" si="19"/>
        <v>2. 1-3yr</v>
      </c>
      <c r="H417">
        <f t="shared" si="20"/>
        <v>0</v>
      </c>
    </row>
    <row r="418" spans="1:8" x14ac:dyDescent="0.3">
      <c r="A418">
        <v>1702</v>
      </c>
      <c r="B418" t="s">
        <v>10</v>
      </c>
      <c r="C418" s="1">
        <v>45653</v>
      </c>
      <c r="D418" t="s">
        <v>7</v>
      </c>
      <c r="E418" t="s">
        <v>8</v>
      </c>
      <c r="F418">
        <f t="shared" ca="1" si="18"/>
        <v>19</v>
      </c>
      <c r="G418" t="str">
        <f t="shared" ca="1" si="19"/>
        <v>2. 1-3yr</v>
      </c>
      <c r="H418">
        <f t="shared" si="20"/>
        <v>0</v>
      </c>
    </row>
    <row r="419" spans="1:8" x14ac:dyDescent="0.3">
      <c r="A419">
        <v>1717</v>
      </c>
      <c r="B419" t="s">
        <v>10</v>
      </c>
      <c r="C419" s="1">
        <v>44638</v>
      </c>
      <c r="D419" t="s">
        <v>7</v>
      </c>
      <c r="E419" t="s">
        <v>8</v>
      </c>
      <c r="F419">
        <f t="shared" ca="1" si="18"/>
        <v>53</v>
      </c>
      <c r="G419" t="str">
        <f t="shared" ca="1" si="19"/>
        <v>3. 3-5yr</v>
      </c>
      <c r="H419">
        <f t="shared" si="20"/>
        <v>0</v>
      </c>
    </row>
    <row r="420" spans="1:8" x14ac:dyDescent="0.3">
      <c r="A420">
        <v>1721</v>
      </c>
      <c r="B420" t="s">
        <v>10</v>
      </c>
      <c r="C420" s="1">
        <v>44204</v>
      </c>
      <c r="D420" t="s">
        <v>7</v>
      </c>
      <c r="E420" t="s">
        <v>8</v>
      </c>
      <c r="F420">
        <f t="shared" ca="1" si="18"/>
        <v>67</v>
      </c>
      <c r="G420" t="str">
        <f t="shared" ca="1" si="19"/>
        <v>4. 5+yr</v>
      </c>
      <c r="H420">
        <f t="shared" si="20"/>
        <v>0</v>
      </c>
    </row>
    <row r="421" spans="1:8" x14ac:dyDescent="0.3">
      <c r="A421">
        <v>1724</v>
      </c>
      <c r="B421" t="s">
        <v>10</v>
      </c>
      <c r="C421" s="1">
        <v>46022</v>
      </c>
      <c r="D421" t="s">
        <v>7</v>
      </c>
      <c r="E421" t="s">
        <v>8</v>
      </c>
      <c r="F421">
        <f t="shared" ca="1" si="18"/>
        <v>7</v>
      </c>
      <c r="G421" t="str">
        <f t="shared" ca="1" si="19"/>
        <v>1. &lt;1yr</v>
      </c>
      <c r="H421">
        <f t="shared" si="20"/>
        <v>0</v>
      </c>
    </row>
    <row r="422" spans="1:8" x14ac:dyDescent="0.3">
      <c r="A422">
        <v>1732</v>
      </c>
      <c r="B422" t="s">
        <v>10</v>
      </c>
      <c r="C422" s="1">
        <v>45108</v>
      </c>
      <c r="D422" t="s">
        <v>6</v>
      </c>
      <c r="E422" s="1">
        <v>45543</v>
      </c>
      <c r="F422">
        <f t="shared" ca="1" si="18"/>
        <v>14</v>
      </c>
      <c r="G422" t="str">
        <f t="shared" ca="1" si="19"/>
        <v>2. 1-3yr</v>
      </c>
      <c r="H422">
        <f t="shared" si="20"/>
        <v>1</v>
      </c>
    </row>
    <row r="423" spans="1:8" x14ac:dyDescent="0.3">
      <c r="A423">
        <v>1741</v>
      </c>
      <c r="B423" t="s">
        <v>10</v>
      </c>
      <c r="C423" s="1">
        <v>44066</v>
      </c>
      <c r="D423" t="s">
        <v>7</v>
      </c>
      <c r="E423" t="s">
        <v>8</v>
      </c>
      <c r="F423">
        <f t="shared" ca="1" si="18"/>
        <v>71</v>
      </c>
      <c r="G423" t="str">
        <f t="shared" ca="1" si="19"/>
        <v>4. 5+yr</v>
      </c>
      <c r="H423">
        <f t="shared" si="20"/>
        <v>0</v>
      </c>
    </row>
    <row r="424" spans="1:8" x14ac:dyDescent="0.3">
      <c r="A424">
        <v>1752</v>
      </c>
      <c r="B424" t="s">
        <v>10</v>
      </c>
      <c r="C424" s="1">
        <v>45531</v>
      </c>
      <c r="D424" t="s">
        <v>6</v>
      </c>
      <c r="E424" s="1">
        <v>45837</v>
      </c>
      <c r="F424">
        <f t="shared" ca="1" si="18"/>
        <v>10</v>
      </c>
      <c r="G424" t="str">
        <f t="shared" ca="1" si="19"/>
        <v>1. &lt;1yr</v>
      </c>
      <c r="H424">
        <f t="shared" si="20"/>
        <v>1</v>
      </c>
    </row>
    <row r="425" spans="1:8" x14ac:dyDescent="0.3">
      <c r="A425">
        <v>1754</v>
      </c>
      <c r="B425" t="s">
        <v>10</v>
      </c>
      <c r="C425" s="1">
        <v>45400</v>
      </c>
      <c r="D425" t="s">
        <v>7</v>
      </c>
      <c r="E425" t="s">
        <v>8</v>
      </c>
      <c r="F425">
        <f t="shared" ca="1" si="18"/>
        <v>28</v>
      </c>
      <c r="G425" t="str">
        <f t="shared" ca="1" si="19"/>
        <v>2. 1-3yr</v>
      </c>
      <c r="H425">
        <f t="shared" si="20"/>
        <v>0</v>
      </c>
    </row>
    <row r="426" spans="1:8" x14ac:dyDescent="0.3">
      <c r="A426">
        <v>1761</v>
      </c>
      <c r="B426" t="s">
        <v>10</v>
      </c>
      <c r="C426" s="1">
        <v>44918</v>
      </c>
      <c r="D426" t="s">
        <v>7</v>
      </c>
      <c r="E426" t="s">
        <v>8</v>
      </c>
      <c r="F426">
        <f t="shared" ca="1" si="18"/>
        <v>43</v>
      </c>
      <c r="G426" t="str">
        <f t="shared" ca="1" si="19"/>
        <v>3. 3-5yr</v>
      </c>
      <c r="H426">
        <f t="shared" si="20"/>
        <v>0</v>
      </c>
    </row>
    <row r="427" spans="1:8" x14ac:dyDescent="0.3">
      <c r="A427">
        <v>1762</v>
      </c>
      <c r="B427" t="s">
        <v>10</v>
      </c>
      <c r="C427" s="1">
        <v>45428</v>
      </c>
      <c r="D427" t="s">
        <v>6</v>
      </c>
      <c r="E427" s="1">
        <v>45678</v>
      </c>
      <c r="F427">
        <f t="shared" ca="1" si="18"/>
        <v>8</v>
      </c>
      <c r="G427" t="str">
        <f t="shared" ca="1" si="19"/>
        <v>1. &lt;1yr</v>
      </c>
      <c r="H427">
        <f t="shared" si="20"/>
        <v>1</v>
      </c>
    </row>
    <row r="428" spans="1:8" x14ac:dyDescent="0.3">
      <c r="A428">
        <v>1765</v>
      </c>
      <c r="B428" t="s">
        <v>10</v>
      </c>
      <c r="C428" s="1">
        <v>44417</v>
      </c>
      <c r="D428" t="s">
        <v>7</v>
      </c>
      <c r="E428" t="s">
        <v>8</v>
      </c>
      <c r="F428">
        <f t="shared" ca="1" si="18"/>
        <v>60</v>
      </c>
      <c r="G428" t="str">
        <f t="shared" ca="1" si="19"/>
        <v>4. 5+yr</v>
      </c>
      <c r="H428">
        <f t="shared" si="20"/>
        <v>0</v>
      </c>
    </row>
    <row r="429" spans="1:8" x14ac:dyDescent="0.3">
      <c r="A429">
        <v>1787</v>
      </c>
      <c r="B429" t="s">
        <v>10</v>
      </c>
      <c r="C429" s="1">
        <v>45430</v>
      </c>
      <c r="D429" t="s">
        <v>7</v>
      </c>
      <c r="E429" t="s">
        <v>8</v>
      </c>
      <c r="F429">
        <f t="shared" ca="1" si="18"/>
        <v>27</v>
      </c>
      <c r="G429" t="str">
        <f t="shared" ca="1" si="19"/>
        <v>2. 1-3yr</v>
      </c>
      <c r="H429">
        <f t="shared" si="20"/>
        <v>0</v>
      </c>
    </row>
    <row r="430" spans="1:8" x14ac:dyDescent="0.3">
      <c r="A430">
        <v>1792</v>
      </c>
      <c r="B430" t="s">
        <v>10</v>
      </c>
      <c r="C430" s="1">
        <v>45419</v>
      </c>
      <c r="D430" t="s">
        <v>7</v>
      </c>
      <c r="E430" t="s">
        <v>8</v>
      </c>
      <c r="F430">
        <f t="shared" ca="1" si="18"/>
        <v>27</v>
      </c>
      <c r="G430" t="str">
        <f t="shared" ca="1" si="19"/>
        <v>2. 1-3yr</v>
      </c>
      <c r="H430">
        <f t="shared" si="20"/>
        <v>0</v>
      </c>
    </row>
    <row r="431" spans="1:8" x14ac:dyDescent="0.3">
      <c r="A431">
        <v>1797</v>
      </c>
      <c r="B431" t="s">
        <v>10</v>
      </c>
      <c r="C431" s="1">
        <v>45657</v>
      </c>
      <c r="D431" t="s">
        <v>7</v>
      </c>
      <c r="E431" t="s">
        <v>8</v>
      </c>
      <c r="F431">
        <f t="shared" ca="1" si="18"/>
        <v>19</v>
      </c>
      <c r="G431" t="str">
        <f t="shared" ca="1" si="19"/>
        <v>2. 1-3yr</v>
      </c>
      <c r="H431">
        <f t="shared" si="20"/>
        <v>0</v>
      </c>
    </row>
    <row r="432" spans="1:8" x14ac:dyDescent="0.3">
      <c r="A432">
        <v>1806</v>
      </c>
      <c r="B432" t="s">
        <v>10</v>
      </c>
      <c r="C432" s="1">
        <v>46082</v>
      </c>
      <c r="D432" t="s">
        <v>6</v>
      </c>
      <c r="E432" s="1">
        <v>46112</v>
      </c>
      <c r="F432">
        <f t="shared" ca="1" si="18"/>
        <v>0</v>
      </c>
      <c r="G432" t="str">
        <f t="shared" ca="1" si="19"/>
        <v>1. &lt;1yr</v>
      </c>
      <c r="H432">
        <f t="shared" si="20"/>
        <v>1</v>
      </c>
    </row>
    <row r="433" spans="1:8" x14ac:dyDescent="0.3">
      <c r="A433">
        <v>1827</v>
      </c>
      <c r="B433" t="s">
        <v>10</v>
      </c>
      <c r="C433" s="1">
        <v>45252</v>
      </c>
      <c r="D433" t="s">
        <v>7</v>
      </c>
      <c r="E433" t="s">
        <v>8</v>
      </c>
      <c r="F433">
        <f t="shared" ca="1" si="18"/>
        <v>32</v>
      </c>
      <c r="G433" t="str">
        <f t="shared" ca="1" si="19"/>
        <v>2. 1-3yr</v>
      </c>
      <c r="H433">
        <f t="shared" si="20"/>
        <v>0</v>
      </c>
    </row>
    <row r="434" spans="1:8" x14ac:dyDescent="0.3">
      <c r="A434">
        <v>1828</v>
      </c>
      <c r="B434" t="s">
        <v>10</v>
      </c>
      <c r="C434" s="1">
        <v>45159</v>
      </c>
      <c r="D434" t="s">
        <v>7</v>
      </c>
      <c r="E434" t="s">
        <v>8</v>
      </c>
      <c r="F434">
        <f t="shared" ca="1" si="18"/>
        <v>35</v>
      </c>
      <c r="G434" t="str">
        <f t="shared" ca="1" si="19"/>
        <v>2. 1-3yr</v>
      </c>
      <c r="H434">
        <f t="shared" si="20"/>
        <v>0</v>
      </c>
    </row>
    <row r="435" spans="1:8" x14ac:dyDescent="0.3">
      <c r="A435">
        <v>1835</v>
      </c>
      <c r="B435" t="s">
        <v>10</v>
      </c>
      <c r="C435" s="1">
        <v>45255</v>
      </c>
      <c r="D435" t="s">
        <v>7</v>
      </c>
      <c r="E435" t="s">
        <v>8</v>
      </c>
      <c r="F435">
        <f t="shared" ca="1" si="18"/>
        <v>32</v>
      </c>
      <c r="G435" t="str">
        <f t="shared" ca="1" si="19"/>
        <v>2. 1-3yr</v>
      </c>
      <c r="H435">
        <f t="shared" si="20"/>
        <v>0</v>
      </c>
    </row>
    <row r="436" spans="1:8" x14ac:dyDescent="0.3">
      <c r="A436">
        <v>1841</v>
      </c>
      <c r="B436" t="s">
        <v>10</v>
      </c>
      <c r="C436" s="1">
        <v>45596</v>
      </c>
      <c r="D436" t="s">
        <v>6</v>
      </c>
      <c r="E436" s="1">
        <v>45829</v>
      </c>
      <c r="F436">
        <f t="shared" ca="1" si="18"/>
        <v>7</v>
      </c>
      <c r="G436" t="str">
        <f t="shared" ca="1" si="19"/>
        <v>1. &lt;1yr</v>
      </c>
      <c r="H436">
        <f t="shared" si="20"/>
        <v>1</v>
      </c>
    </row>
    <row r="437" spans="1:8" x14ac:dyDescent="0.3">
      <c r="A437">
        <v>1842</v>
      </c>
      <c r="B437" t="s">
        <v>10</v>
      </c>
      <c r="C437" s="1">
        <v>45946</v>
      </c>
      <c r="D437" t="s">
        <v>7</v>
      </c>
      <c r="E437" t="s">
        <v>8</v>
      </c>
      <c r="F437">
        <f t="shared" ca="1" si="18"/>
        <v>10</v>
      </c>
      <c r="G437" t="str">
        <f t="shared" ca="1" si="19"/>
        <v>1. &lt;1yr</v>
      </c>
      <c r="H437">
        <f t="shared" si="20"/>
        <v>0</v>
      </c>
    </row>
    <row r="438" spans="1:8" x14ac:dyDescent="0.3">
      <c r="A438">
        <v>1860</v>
      </c>
      <c r="B438" t="s">
        <v>10</v>
      </c>
      <c r="C438" s="1">
        <v>44091</v>
      </c>
      <c r="D438" t="s">
        <v>7</v>
      </c>
      <c r="E438" t="s">
        <v>8</v>
      </c>
      <c r="F438">
        <f t="shared" ca="1" si="18"/>
        <v>71</v>
      </c>
      <c r="G438" t="str">
        <f t="shared" ca="1" si="19"/>
        <v>4. 5+yr</v>
      </c>
      <c r="H438">
        <f t="shared" si="20"/>
        <v>0</v>
      </c>
    </row>
    <row r="439" spans="1:8" x14ac:dyDescent="0.3">
      <c r="A439">
        <v>1002</v>
      </c>
      <c r="B439" t="s">
        <v>11</v>
      </c>
      <c r="C439" s="1">
        <v>45684</v>
      </c>
      <c r="D439" t="s">
        <v>7</v>
      </c>
      <c r="E439" t="s">
        <v>8</v>
      </c>
      <c r="F439">
        <f t="shared" ca="1" si="18"/>
        <v>18</v>
      </c>
      <c r="G439" t="str">
        <f t="shared" ca="1" si="19"/>
        <v>2. 1-3yr</v>
      </c>
      <c r="H439">
        <f t="shared" si="20"/>
        <v>0</v>
      </c>
    </row>
    <row r="440" spans="1:8" x14ac:dyDescent="0.3">
      <c r="A440">
        <v>1005</v>
      </c>
      <c r="B440" t="s">
        <v>11</v>
      </c>
      <c r="C440" s="1">
        <v>45201</v>
      </c>
      <c r="D440" t="s">
        <v>7</v>
      </c>
      <c r="E440" t="s">
        <v>8</v>
      </c>
      <c r="F440">
        <f t="shared" ca="1" si="18"/>
        <v>34</v>
      </c>
      <c r="G440" t="str">
        <f t="shared" ca="1" si="19"/>
        <v>2. 1-3yr</v>
      </c>
      <c r="H440">
        <f t="shared" si="20"/>
        <v>0</v>
      </c>
    </row>
    <row r="441" spans="1:8" x14ac:dyDescent="0.3">
      <c r="A441">
        <v>1014</v>
      </c>
      <c r="B441" t="s">
        <v>11</v>
      </c>
      <c r="C441" s="1">
        <v>44987</v>
      </c>
      <c r="D441" t="s">
        <v>7</v>
      </c>
      <c r="E441" t="s">
        <v>8</v>
      </c>
      <c r="F441">
        <f t="shared" ca="1" si="18"/>
        <v>41</v>
      </c>
      <c r="G441" t="str">
        <f t="shared" ca="1" si="19"/>
        <v>3. 3-5yr</v>
      </c>
      <c r="H441">
        <f t="shared" si="20"/>
        <v>0</v>
      </c>
    </row>
    <row r="442" spans="1:8" x14ac:dyDescent="0.3">
      <c r="A442">
        <v>1020</v>
      </c>
      <c r="B442" t="s">
        <v>11</v>
      </c>
      <c r="C442" s="1">
        <v>45410</v>
      </c>
      <c r="D442" t="s">
        <v>7</v>
      </c>
      <c r="E442" t="s">
        <v>8</v>
      </c>
      <c r="F442">
        <f t="shared" ca="1" si="18"/>
        <v>27</v>
      </c>
      <c r="G442" t="str">
        <f t="shared" ca="1" si="19"/>
        <v>2. 1-3yr</v>
      </c>
      <c r="H442">
        <f t="shared" si="20"/>
        <v>0</v>
      </c>
    </row>
    <row r="443" spans="1:8" x14ac:dyDescent="0.3">
      <c r="A443">
        <v>1027</v>
      </c>
      <c r="B443" t="s">
        <v>11</v>
      </c>
      <c r="C443" s="1">
        <v>44823</v>
      </c>
      <c r="D443" t="s">
        <v>7</v>
      </c>
      <c r="E443" t="s">
        <v>8</v>
      </c>
      <c r="F443">
        <f t="shared" ca="1" si="18"/>
        <v>46</v>
      </c>
      <c r="G443" t="str">
        <f t="shared" ca="1" si="19"/>
        <v>3. 3-5yr</v>
      </c>
      <c r="H443">
        <f t="shared" si="20"/>
        <v>0</v>
      </c>
    </row>
    <row r="444" spans="1:8" x14ac:dyDescent="0.3">
      <c r="A444">
        <v>1028</v>
      </c>
      <c r="B444" t="s">
        <v>11</v>
      </c>
      <c r="C444" s="1">
        <v>45159</v>
      </c>
      <c r="D444" t="s">
        <v>7</v>
      </c>
      <c r="E444" t="s">
        <v>8</v>
      </c>
      <c r="F444">
        <f t="shared" ca="1" si="18"/>
        <v>35</v>
      </c>
      <c r="G444" t="str">
        <f t="shared" ca="1" si="19"/>
        <v>2. 1-3yr</v>
      </c>
      <c r="H444">
        <f t="shared" si="20"/>
        <v>0</v>
      </c>
    </row>
    <row r="445" spans="1:8" x14ac:dyDescent="0.3">
      <c r="A445">
        <v>1036</v>
      </c>
      <c r="B445" t="s">
        <v>11</v>
      </c>
      <c r="C445" s="1">
        <v>45563</v>
      </c>
      <c r="D445" t="s">
        <v>7</v>
      </c>
      <c r="E445" t="s">
        <v>8</v>
      </c>
      <c r="F445">
        <f t="shared" ca="1" si="18"/>
        <v>22</v>
      </c>
      <c r="G445" t="str">
        <f t="shared" ca="1" si="19"/>
        <v>2. 1-3yr</v>
      </c>
      <c r="H445">
        <f t="shared" si="20"/>
        <v>0</v>
      </c>
    </row>
    <row r="446" spans="1:8" x14ac:dyDescent="0.3">
      <c r="A446">
        <v>1044</v>
      </c>
      <c r="B446" t="s">
        <v>11</v>
      </c>
      <c r="C446" s="1">
        <v>45192</v>
      </c>
      <c r="D446" t="s">
        <v>7</v>
      </c>
      <c r="E446" t="s">
        <v>8</v>
      </c>
      <c r="F446">
        <f t="shared" ca="1" si="18"/>
        <v>34</v>
      </c>
      <c r="G446" t="str">
        <f t="shared" ca="1" si="19"/>
        <v>2. 1-3yr</v>
      </c>
      <c r="H446">
        <f t="shared" si="20"/>
        <v>0</v>
      </c>
    </row>
    <row r="447" spans="1:8" x14ac:dyDescent="0.3">
      <c r="A447">
        <v>1045</v>
      </c>
      <c r="B447" t="s">
        <v>11</v>
      </c>
      <c r="C447" s="1">
        <v>45740</v>
      </c>
      <c r="D447" t="s">
        <v>6</v>
      </c>
      <c r="E447" s="1">
        <v>46003</v>
      </c>
      <c r="F447">
        <f t="shared" ca="1" si="18"/>
        <v>8</v>
      </c>
      <c r="G447" t="str">
        <f t="shared" ca="1" si="19"/>
        <v>1. &lt;1yr</v>
      </c>
      <c r="H447">
        <f t="shared" si="20"/>
        <v>1</v>
      </c>
    </row>
    <row r="448" spans="1:8" x14ac:dyDescent="0.3">
      <c r="A448">
        <v>1049</v>
      </c>
      <c r="B448" t="s">
        <v>11</v>
      </c>
      <c r="C448" s="1">
        <v>45191</v>
      </c>
      <c r="D448" t="s">
        <v>7</v>
      </c>
      <c r="E448" t="s">
        <v>8</v>
      </c>
      <c r="F448">
        <f t="shared" ca="1" si="18"/>
        <v>34</v>
      </c>
      <c r="G448" t="str">
        <f t="shared" ca="1" si="19"/>
        <v>2. 1-3yr</v>
      </c>
      <c r="H448">
        <f t="shared" si="20"/>
        <v>0</v>
      </c>
    </row>
    <row r="449" spans="1:8" x14ac:dyDescent="0.3">
      <c r="A449">
        <v>1064</v>
      </c>
      <c r="B449" t="s">
        <v>11</v>
      </c>
      <c r="C449" s="1">
        <v>44811</v>
      </c>
      <c r="D449" t="s">
        <v>6</v>
      </c>
      <c r="E449" s="1">
        <v>45837</v>
      </c>
      <c r="F449">
        <f t="shared" ca="1" si="18"/>
        <v>33</v>
      </c>
      <c r="G449" t="str">
        <f t="shared" ca="1" si="19"/>
        <v>2. 1-3yr</v>
      </c>
      <c r="H449">
        <f t="shared" si="20"/>
        <v>1</v>
      </c>
    </row>
    <row r="450" spans="1:8" x14ac:dyDescent="0.3">
      <c r="A450">
        <v>1068</v>
      </c>
      <c r="B450" t="s">
        <v>11</v>
      </c>
      <c r="C450" s="1">
        <v>45849</v>
      </c>
      <c r="D450" t="s">
        <v>7</v>
      </c>
      <c r="E450" t="s">
        <v>8</v>
      </c>
      <c r="F450">
        <f t="shared" ca="1" si="18"/>
        <v>13</v>
      </c>
      <c r="G450" t="str">
        <f t="shared" ca="1" si="19"/>
        <v>2. 1-3yr</v>
      </c>
      <c r="H450">
        <f t="shared" si="20"/>
        <v>0</v>
      </c>
    </row>
    <row r="451" spans="1:8" x14ac:dyDescent="0.3">
      <c r="A451">
        <v>1075</v>
      </c>
      <c r="B451" t="s">
        <v>11</v>
      </c>
      <c r="C451" s="1">
        <v>45782</v>
      </c>
      <c r="D451" t="s">
        <v>7</v>
      </c>
      <c r="E451" t="s">
        <v>8</v>
      </c>
      <c r="F451">
        <f t="shared" ref="F451:F514" ca="1" si="21">DATEDIF(C451, IF(OR(E451="",E451="NULL"), TODAY(), E451), "m")</f>
        <v>15</v>
      </c>
      <c r="G451" t="str">
        <f t="shared" ref="G451:G514" ca="1" si="22">IF(F451&lt;12,"1. &lt;1yr",IF(F451&lt;36,"2. 1-3yr",IF(F451&lt;60,"3. 3-5yr","4. 5+yr")))</f>
        <v>2. 1-3yr</v>
      </c>
      <c r="H451">
        <f t="shared" ref="H451:H514" si="23">IF(D451="Yes",1,0)</f>
        <v>0</v>
      </c>
    </row>
    <row r="452" spans="1:8" x14ac:dyDescent="0.3">
      <c r="A452">
        <v>1082</v>
      </c>
      <c r="B452" t="s">
        <v>11</v>
      </c>
      <c r="C452" s="1">
        <v>45062</v>
      </c>
      <c r="D452" t="s">
        <v>7</v>
      </c>
      <c r="E452" t="s">
        <v>8</v>
      </c>
      <c r="F452">
        <f t="shared" ca="1" si="21"/>
        <v>39</v>
      </c>
      <c r="G452" t="str">
        <f t="shared" ca="1" si="22"/>
        <v>3. 3-5yr</v>
      </c>
      <c r="H452">
        <f t="shared" si="23"/>
        <v>0</v>
      </c>
    </row>
    <row r="453" spans="1:8" x14ac:dyDescent="0.3">
      <c r="A453">
        <v>1085</v>
      </c>
      <c r="B453" t="s">
        <v>11</v>
      </c>
      <c r="C453" s="1">
        <v>44702</v>
      </c>
      <c r="D453" t="s">
        <v>7</v>
      </c>
      <c r="E453" t="s">
        <v>8</v>
      </c>
      <c r="F453">
        <f t="shared" ca="1" si="21"/>
        <v>50</v>
      </c>
      <c r="G453" t="str">
        <f t="shared" ca="1" si="22"/>
        <v>3. 3-5yr</v>
      </c>
      <c r="H453">
        <f t="shared" si="23"/>
        <v>0</v>
      </c>
    </row>
    <row r="454" spans="1:8" x14ac:dyDescent="0.3">
      <c r="A454">
        <v>1086</v>
      </c>
      <c r="B454" t="s">
        <v>11</v>
      </c>
      <c r="C454" s="1">
        <v>46051</v>
      </c>
      <c r="D454" t="s">
        <v>7</v>
      </c>
      <c r="E454" t="s">
        <v>8</v>
      </c>
      <c r="F454">
        <f t="shared" ca="1" si="21"/>
        <v>6</v>
      </c>
      <c r="G454" t="str">
        <f t="shared" ca="1" si="22"/>
        <v>1. &lt;1yr</v>
      </c>
      <c r="H454">
        <f t="shared" si="23"/>
        <v>0</v>
      </c>
    </row>
    <row r="455" spans="1:8" x14ac:dyDescent="0.3">
      <c r="A455">
        <v>1087</v>
      </c>
      <c r="B455" t="s">
        <v>11</v>
      </c>
      <c r="C455" s="1">
        <v>45365</v>
      </c>
      <c r="D455" t="s">
        <v>6</v>
      </c>
      <c r="E455" s="1">
        <v>45990</v>
      </c>
      <c r="F455">
        <f t="shared" ca="1" si="21"/>
        <v>20</v>
      </c>
      <c r="G455" t="str">
        <f t="shared" ca="1" si="22"/>
        <v>2. 1-3yr</v>
      </c>
      <c r="H455">
        <f t="shared" si="23"/>
        <v>1</v>
      </c>
    </row>
    <row r="456" spans="1:8" x14ac:dyDescent="0.3">
      <c r="A456">
        <v>1090</v>
      </c>
      <c r="B456" t="s">
        <v>11</v>
      </c>
      <c r="C456" s="1">
        <v>45341</v>
      </c>
      <c r="D456" t="s">
        <v>7</v>
      </c>
      <c r="E456" t="s">
        <v>8</v>
      </c>
      <c r="F456">
        <f t="shared" ca="1" si="21"/>
        <v>29</v>
      </c>
      <c r="G456" t="str">
        <f t="shared" ca="1" si="22"/>
        <v>2. 1-3yr</v>
      </c>
      <c r="H456">
        <f t="shared" si="23"/>
        <v>0</v>
      </c>
    </row>
    <row r="457" spans="1:8" x14ac:dyDescent="0.3">
      <c r="A457">
        <v>1091</v>
      </c>
      <c r="B457" t="s">
        <v>11</v>
      </c>
      <c r="C457" s="1">
        <v>45709</v>
      </c>
      <c r="D457" t="s">
        <v>7</v>
      </c>
      <c r="E457" t="s">
        <v>8</v>
      </c>
      <c r="F457">
        <f t="shared" ca="1" si="21"/>
        <v>17</v>
      </c>
      <c r="G457" t="str">
        <f t="shared" ca="1" si="22"/>
        <v>2. 1-3yr</v>
      </c>
      <c r="H457">
        <f t="shared" si="23"/>
        <v>0</v>
      </c>
    </row>
    <row r="458" spans="1:8" x14ac:dyDescent="0.3">
      <c r="A458">
        <v>1095</v>
      </c>
      <c r="B458" t="s">
        <v>11</v>
      </c>
      <c r="C458" s="1">
        <v>44824</v>
      </c>
      <c r="D458" t="s">
        <v>6</v>
      </c>
      <c r="E458" s="1">
        <v>45641</v>
      </c>
      <c r="F458">
        <f t="shared" ca="1" si="21"/>
        <v>26</v>
      </c>
      <c r="G458" t="str">
        <f t="shared" ca="1" si="22"/>
        <v>2. 1-3yr</v>
      </c>
      <c r="H458">
        <f t="shared" si="23"/>
        <v>1</v>
      </c>
    </row>
    <row r="459" spans="1:8" x14ac:dyDescent="0.3">
      <c r="A459">
        <v>1097</v>
      </c>
      <c r="B459" t="s">
        <v>11</v>
      </c>
      <c r="C459" s="1">
        <v>45055</v>
      </c>
      <c r="D459" t="s">
        <v>7</v>
      </c>
      <c r="E459" t="s">
        <v>8</v>
      </c>
      <c r="F459">
        <f t="shared" ca="1" si="21"/>
        <v>39</v>
      </c>
      <c r="G459" t="str">
        <f t="shared" ca="1" si="22"/>
        <v>3. 3-5yr</v>
      </c>
      <c r="H459">
        <f t="shared" si="23"/>
        <v>0</v>
      </c>
    </row>
    <row r="460" spans="1:8" x14ac:dyDescent="0.3">
      <c r="A460">
        <v>1099</v>
      </c>
      <c r="B460" t="s">
        <v>11</v>
      </c>
      <c r="C460" s="1">
        <v>44256</v>
      </c>
      <c r="D460" t="s">
        <v>7</v>
      </c>
      <c r="E460" t="s">
        <v>8</v>
      </c>
      <c r="F460">
        <f t="shared" ca="1" si="21"/>
        <v>65</v>
      </c>
      <c r="G460" t="str">
        <f t="shared" ca="1" si="22"/>
        <v>4. 5+yr</v>
      </c>
      <c r="H460">
        <f t="shared" si="23"/>
        <v>0</v>
      </c>
    </row>
    <row r="461" spans="1:8" x14ac:dyDescent="0.3">
      <c r="A461">
        <v>1110</v>
      </c>
      <c r="B461" t="s">
        <v>11</v>
      </c>
      <c r="C461" s="1">
        <v>45658</v>
      </c>
      <c r="D461" t="s">
        <v>7</v>
      </c>
      <c r="E461" t="s">
        <v>8</v>
      </c>
      <c r="F461">
        <f t="shared" ca="1" si="21"/>
        <v>19</v>
      </c>
      <c r="G461" t="str">
        <f t="shared" ca="1" si="22"/>
        <v>2. 1-3yr</v>
      </c>
      <c r="H461">
        <f t="shared" si="23"/>
        <v>0</v>
      </c>
    </row>
    <row r="462" spans="1:8" x14ac:dyDescent="0.3">
      <c r="A462">
        <v>1124</v>
      </c>
      <c r="B462" t="s">
        <v>11</v>
      </c>
      <c r="C462" s="1">
        <v>45104</v>
      </c>
      <c r="D462" t="s">
        <v>7</v>
      </c>
      <c r="E462" t="s">
        <v>8</v>
      </c>
      <c r="F462">
        <f t="shared" ca="1" si="21"/>
        <v>37</v>
      </c>
      <c r="G462" t="str">
        <f t="shared" ca="1" si="22"/>
        <v>3. 3-5yr</v>
      </c>
      <c r="H462">
        <f t="shared" si="23"/>
        <v>0</v>
      </c>
    </row>
    <row r="463" spans="1:8" x14ac:dyDescent="0.3">
      <c r="A463">
        <v>1133</v>
      </c>
      <c r="B463" t="s">
        <v>11</v>
      </c>
      <c r="C463" s="1">
        <v>44912</v>
      </c>
      <c r="D463" t="s">
        <v>7</v>
      </c>
      <c r="E463" t="s">
        <v>8</v>
      </c>
      <c r="F463">
        <f t="shared" ca="1" si="21"/>
        <v>44</v>
      </c>
      <c r="G463" t="str">
        <f t="shared" ca="1" si="22"/>
        <v>3. 3-5yr</v>
      </c>
      <c r="H463">
        <f t="shared" si="23"/>
        <v>0</v>
      </c>
    </row>
    <row r="464" spans="1:8" x14ac:dyDescent="0.3">
      <c r="A464">
        <v>1136</v>
      </c>
      <c r="B464" t="s">
        <v>11</v>
      </c>
      <c r="C464" s="1">
        <v>44756</v>
      </c>
      <c r="D464" t="s">
        <v>7</v>
      </c>
      <c r="E464" t="s">
        <v>8</v>
      </c>
      <c r="F464">
        <f t="shared" ca="1" si="21"/>
        <v>49</v>
      </c>
      <c r="G464" t="str">
        <f t="shared" ca="1" si="22"/>
        <v>3. 3-5yr</v>
      </c>
      <c r="H464">
        <f t="shared" si="23"/>
        <v>0</v>
      </c>
    </row>
    <row r="465" spans="1:8" x14ac:dyDescent="0.3">
      <c r="A465">
        <v>1138</v>
      </c>
      <c r="B465" t="s">
        <v>11</v>
      </c>
      <c r="C465" s="1">
        <v>45495</v>
      </c>
      <c r="D465" t="s">
        <v>6</v>
      </c>
      <c r="E465" s="1">
        <v>45748</v>
      </c>
      <c r="F465">
        <f t="shared" ca="1" si="21"/>
        <v>8</v>
      </c>
      <c r="G465" t="str">
        <f t="shared" ca="1" si="22"/>
        <v>1. &lt;1yr</v>
      </c>
      <c r="H465">
        <f t="shared" si="23"/>
        <v>1</v>
      </c>
    </row>
    <row r="466" spans="1:8" x14ac:dyDescent="0.3">
      <c r="A466">
        <v>1139</v>
      </c>
      <c r="B466" t="s">
        <v>11</v>
      </c>
      <c r="C466" s="1">
        <v>44610</v>
      </c>
      <c r="D466" t="s">
        <v>7</v>
      </c>
      <c r="E466" t="s">
        <v>8</v>
      </c>
      <c r="F466">
        <f t="shared" ca="1" si="21"/>
        <v>54</v>
      </c>
      <c r="G466" t="str">
        <f t="shared" ca="1" si="22"/>
        <v>3. 3-5yr</v>
      </c>
      <c r="H466">
        <f t="shared" si="23"/>
        <v>0</v>
      </c>
    </row>
    <row r="467" spans="1:8" x14ac:dyDescent="0.3">
      <c r="A467">
        <v>1141</v>
      </c>
      <c r="B467" t="s">
        <v>11</v>
      </c>
      <c r="C467" s="1">
        <v>45125</v>
      </c>
      <c r="D467" t="s">
        <v>7</v>
      </c>
      <c r="E467" t="s">
        <v>8</v>
      </c>
      <c r="F467">
        <f t="shared" ca="1" si="21"/>
        <v>37</v>
      </c>
      <c r="G467" t="str">
        <f t="shared" ca="1" si="22"/>
        <v>3. 3-5yr</v>
      </c>
      <c r="H467">
        <f t="shared" si="23"/>
        <v>0</v>
      </c>
    </row>
    <row r="468" spans="1:8" x14ac:dyDescent="0.3">
      <c r="A468">
        <v>1148</v>
      </c>
      <c r="B468" t="s">
        <v>11</v>
      </c>
      <c r="C468" s="1">
        <v>45423</v>
      </c>
      <c r="D468" t="s">
        <v>6</v>
      </c>
      <c r="E468" s="1">
        <v>45891</v>
      </c>
      <c r="F468">
        <f t="shared" ca="1" si="21"/>
        <v>15</v>
      </c>
      <c r="G468" t="str">
        <f t="shared" ca="1" si="22"/>
        <v>2. 1-3yr</v>
      </c>
      <c r="H468">
        <f t="shared" si="23"/>
        <v>1</v>
      </c>
    </row>
    <row r="469" spans="1:8" x14ac:dyDescent="0.3">
      <c r="A469">
        <v>1153</v>
      </c>
      <c r="B469" t="s">
        <v>11</v>
      </c>
      <c r="C469" s="1">
        <v>44788</v>
      </c>
      <c r="D469" t="s">
        <v>6</v>
      </c>
      <c r="E469" s="1">
        <v>45377</v>
      </c>
      <c r="F469">
        <f t="shared" ca="1" si="21"/>
        <v>19</v>
      </c>
      <c r="G469" t="str">
        <f t="shared" ca="1" si="22"/>
        <v>2. 1-3yr</v>
      </c>
      <c r="H469">
        <f t="shared" si="23"/>
        <v>1</v>
      </c>
    </row>
    <row r="470" spans="1:8" x14ac:dyDescent="0.3">
      <c r="A470">
        <v>1159</v>
      </c>
      <c r="B470" t="s">
        <v>11</v>
      </c>
      <c r="C470" s="1">
        <v>44400</v>
      </c>
      <c r="D470" t="s">
        <v>7</v>
      </c>
      <c r="E470" t="s">
        <v>8</v>
      </c>
      <c r="F470">
        <f t="shared" ca="1" si="21"/>
        <v>60</v>
      </c>
      <c r="G470" t="str">
        <f t="shared" ca="1" si="22"/>
        <v>4. 5+yr</v>
      </c>
      <c r="H470">
        <f t="shared" si="23"/>
        <v>0</v>
      </c>
    </row>
    <row r="471" spans="1:8" x14ac:dyDescent="0.3">
      <c r="A471">
        <v>1163</v>
      </c>
      <c r="B471" t="s">
        <v>11</v>
      </c>
      <c r="C471" s="1">
        <v>45316</v>
      </c>
      <c r="D471" t="s">
        <v>7</v>
      </c>
      <c r="E471" t="s">
        <v>8</v>
      </c>
      <c r="F471">
        <f t="shared" ca="1" si="21"/>
        <v>30</v>
      </c>
      <c r="G471" t="str">
        <f t="shared" ca="1" si="22"/>
        <v>2. 1-3yr</v>
      </c>
      <c r="H471">
        <f t="shared" si="23"/>
        <v>0</v>
      </c>
    </row>
    <row r="472" spans="1:8" x14ac:dyDescent="0.3">
      <c r="A472">
        <v>1166</v>
      </c>
      <c r="B472" t="s">
        <v>11</v>
      </c>
      <c r="C472" s="1">
        <v>46110</v>
      </c>
      <c r="D472" t="s">
        <v>7</v>
      </c>
      <c r="E472" t="s">
        <v>8</v>
      </c>
      <c r="F472">
        <f t="shared" ca="1" si="21"/>
        <v>4</v>
      </c>
      <c r="G472" t="str">
        <f t="shared" ca="1" si="22"/>
        <v>1. &lt;1yr</v>
      </c>
      <c r="H472">
        <f t="shared" si="23"/>
        <v>0</v>
      </c>
    </row>
    <row r="473" spans="1:8" x14ac:dyDescent="0.3">
      <c r="A473">
        <v>1169</v>
      </c>
      <c r="B473" t="s">
        <v>11</v>
      </c>
      <c r="C473" s="1">
        <v>46149</v>
      </c>
      <c r="D473" t="s">
        <v>7</v>
      </c>
      <c r="E473" t="s">
        <v>8</v>
      </c>
      <c r="F473">
        <f t="shared" ca="1" si="21"/>
        <v>3</v>
      </c>
      <c r="G473" t="str">
        <f t="shared" ca="1" si="22"/>
        <v>1. &lt;1yr</v>
      </c>
      <c r="H473">
        <f t="shared" si="23"/>
        <v>0</v>
      </c>
    </row>
    <row r="474" spans="1:8" x14ac:dyDescent="0.3">
      <c r="A474">
        <v>1177</v>
      </c>
      <c r="B474" t="s">
        <v>11</v>
      </c>
      <c r="C474" s="1">
        <v>45127</v>
      </c>
      <c r="D474" t="s">
        <v>7</v>
      </c>
      <c r="E474" t="s">
        <v>8</v>
      </c>
      <c r="F474">
        <f t="shared" ca="1" si="21"/>
        <v>36</v>
      </c>
      <c r="G474" t="str">
        <f t="shared" ca="1" si="22"/>
        <v>3. 3-5yr</v>
      </c>
      <c r="H474">
        <f t="shared" si="23"/>
        <v>0</v>
      </c>
    </row>
    <row r="475" spans="1:8" x14ac:dyDescent="0.3">
      <c r="A475">
        <v>1178</v>
      </c>
      <c r="B475" t="s">
        <v>11</v>
      </c>
      <c r="C475" s="1">
        <v>45186</v>
      </c>
      <c r="D475" t="s">
        <v>7</v>
      </c>
      <c r="E475" t="s">
        <v>8</v>
      </c>
      <c r="F475">
        <f t="shared" ca="1" si="21"/>
        <v>35</v>
      </c>
      <c r="G475" t="str">
        <f t="shared" ca="1" si="22"/>
        <v>2. 1-3yr</v>
      </c>
      <c r="H475">
        <f t="shared" si="23"/>
        <v>0</v>
      </c>
    </row>
    <row r="476" spans="1:8" x14ac:dyDescent="0.3">
      <c r="A476">
        <v>1183</v>
      </c>
      <c r="B476" t="s">
        <v>11</v>
      </c>
      <c r="C476" s="1">
        <v>45244</v>
      </c>
      <c r="D476" t="s">
        <v>7</v>
      </c>
      <c r="E476" t="s">
        <v>8</v>
      </c>
      <c r="F476">
        <f t="shared" ca="1" si="21"/>
        <v>33</v>
      </c>
      <c r="G476" t="str">
        <f t="shared" ca="1" si="22"/>
        <v>2. 1-3yr</v>
      </c>
      <c r="H476">
        <f t="shared" si="23"/>
        <v>0</v>
      </c>
    </row>
    <row r="477" spans="1:8" x14ac:dyDescent="0.3">
      <c r="A477">
        <v>1187</v>
      </c>
      <c r="B477" t="s">
        <v>11</v>
      </c>
      <c r="C477" s="1">
        <v>44062</v>
      </c>
      <c r="D477" t="s">
        <v>7</v>
      </c>
      <c r="E477" t="s">
        <v>8</v>
      </c>
      <c r="F477">
        <f t="shared" ca="1" si="21"/>
        <v>71</v>
      </c>
      <c r="G477" t="str">
        <f t="shared" ca="1" si="22"/>
        <v>4. 5+yr</v>
      </c>
      <c r="H477">
        <f t="shared" si="23"/>
        <v>0</v>
      </c>
    </row>
    <row r="478" spans="1:8" x14ac:dyDescent="0.3">
      <c r="A478">
        <v>1191</v>
      </c>
      <c r="B478" t="s">
        <v>11</v>
      </c>
      <c r="C478" s="1">
        <v>46199</v>
      </c>
      <c r="D478" t="s">
        <v>7</v>
      </c>
      <c r="E478" t="s">
        <v>8</v>
      </c>
      <c r="F478">
        <f t="shared" ca="1" si="21"/>
        <v>1</v>
      </c>
      <c r="G478" t="str">
        <f t="shared" ca="1" si="22"/>
        <v>1. &lt;1yr</v>
      </c>
      <c r="H478">
        <f t="shared" si="23"/>
        <v>0</v>
      </c>
    </row>
    <row r="479" spans="1:8" x14ac:dyDescent="0.3">
      <c r="A479">
        <v>1193</v>
      </c>
      <c r="B479" t="s">
        <v>11</v>
      </c>
      <c r="C479" s="1">
        <v>45816</v>
      </c>
      <c r="D479" t="s">
        <v>7</v>
      </c>
      <c r="E479" t="s">
        <v>8</v>
      </c>
      <c r="F479">
        <f t="shared" ca="1" si="21"/>
        <v>14</v>
      </c>
      <c r="G479" t="str">
        <f t="shared" ca="1" si="22"/>
        <v>2. 1-3yr</v>
      </c>
      <c r="H479">
        <f t="shared" si="23"/>
        <v>0</v>
      </c>
    </row>
    <row r="480" spans="1:8" x14ac:dyDescent="0.3">
      <c r="A480">
        <v>1198</v>
      </c>
      <c r="B480" t="s">
        <v>11</v>
      </c>
      <c r="C480" s="1">
        <v>45464</v>
      </c>
      <c r="D480" t="s">
        <v>7</v>
      </c>
      <c r="E480" t="s">
        <v>8</v>
      </c>
      <c r="F480">
        <f t="shared" ca="1" si="21"/>
        <v>25</v>
      </c>
      <c r="G480" t="str">
        <f t="shared" ca="1" si="22"/>
        <v>2. 1-3yr</v>
      </c>
      <c r="H480">
        <f t="shared" si="23"/>
        <v>0</v>
      </c>
    </row>
    <row r="481" spans="1:8" x14ac:dyDescent="0.3">
      <c r="A481">
        <v>1201</v>
      </c>
      <c r="B481" t="s">
        <v>11</v>
      </c>
      <c r="C481" s="1">
        <v>45571</v>
      </c>
      <c r="D481" t="s">
        <v>6</v>
      </c>
      <c r="E481" s="1">
        <v>45713</v>
      </c>
      <c r="F481">
        <f t="shared" ca="1" si="21"/>
        <v>4</v>
      </c>
      <c r="G481" t="str">
        <f t="shared" ca="1" si="22"/>
        <v>1. &lt;1yr</v>
      </c>
      <c r="H481">
        <f t="shared" si="23"/>
        <v>1</v>
      </c>
    </row>
    <row r="482" spans="1:8" x14ac:dyDescent="0.3">
      <c r="A482">
        <v>1209</v>
      </c>
      <c r="B482" t="s">
        <v>11</v>
      </c>
      <c r="C482" s="1">
        <v>45727</v>
      </c>
      <c r="D482" t="s">
        <v>7</v>
      </c>
      <c r="E482" t="s">
        <v>8</v>
      </c>
      <c r="F482">
        <f t="shared" ca="1" si="21"/>
        <v>17</v>
      </c>
      <c r="G482" t="str">
        <f t="shared" ca="1" si="22"/>
        <v>2. 1-3yr</v>
      </c>
      <c r="H482">
        <f t="shared" si="23"/>
        <v>0</v>
      </c>
    </row>
    <row r="483" spans="1:8" x14ac:dyDescent="0.3">
      <c r="A483">
        <v>1217</v>
      </c>
      <c r="B483" t="s">
        <v>11</v>
      </c>
      <c r="C483" s="1">
        <v>43706</v>
      </c>
      <c r="D483" t="s">
        <v>7</v>
      </c>
      <c r="E483" t="s">
        <v>8</v>
      </c>
      <c r="F483">
        <f t="shared" ca="1" si="21"/>
        <v>83</v>
      </c>
      <c r="G483" t="str">
        <f t="shared" ca="1" si="22"/>
        <v>4. 5+yr</v>
      </c>
      <c r="H483">
        <f t="shared" si="23"/>
        <v>0</v>
      </c>
    </row>
    <row r="484" spans="1:8" x14ac:dyDescent="0.3">
      <c r="A484">
        <v>1222</v>
      </c>
      <c r="B484" t="s">
        <v>11</v>
      </c>
      <c r="C484" s="1">
        <v>45851</v>
      </c>
      <c r="D484" t="s">
        <v>7</v>
      </c>
      <c r="E484" t="s">
        <v>8</v>
      </c>
      <c r="F484">
        <f t="shared" ca="1" si="21"/>
        <v>13</v>
      </c>
      <c r="G484" t="str">
        <f t="shared" ca="1" si="22"/>
        <v>2. 1-3yr</v>
      </c>
      <c r="H484">
        <f t="shared" si="23"/>
        <v>0</v>
      </c>
    </row>
    <row r="485" spans="1:8" x14ac:dyDescent="0.3">
      <c r="A485">
        <v>1227</v>
      </c>
      <c r="B485" t="s">
        <v>11</v>
      </c>
      <c r="C485" s="1">
        <v>45081</v>
      </c>
      <c r="D485" t="s">
        <v>7</v>
      </c>
      <c r="E485" t="s">
        <v>8</v>
      </c>
      <c r="F485">
        <f t="shared" ca="1" si="21"/>
        <v>38</v>
      </c>
      <c r="G485" t="str">
        <f t="shared" ca="1" si="22"/>
        <v>3. 3-5yr</v>
      </c>
      <c r="H485">
        <f t="shared" si="23"/>
        <v>0</v>
      </c>
    </row>
    <row r="486" spans="1:8" x14ac:dyDescent="0.3">
      <c r="A486">
        <v>1250</v>
      </c>
      <c r="B486" t="s">
        <v>11</v>
      </c>
      <c r="C486" s="1">
        <v>44578</v>
      </c>
      <c r="D486" t="s">
        <v>6</v>
      </c>
      <c r="E486" s="1">
        <v>45808</v>
      </c>
      <c r="F486">
        <f t="shared" ca="1" si="21"/>
        <v>40</v>
      </c>
      <c r="G486" t="str">
        <f t="shared" ca="1" si="22"/>
        <v>3. 3-5yr</v>
      </c>
      <c r="H486">
        <f t="shared" si="23"/>
        <v>1</v>
      </c>
    </row>
    <row r="487" spans="1:8" x14ac:dyDescent="0.3">
      <c r="A487">
        <v>1266</v>
      </c>
      <c r="B487" t="s">
        <v>11</v>
      </c>
      <c r="C487" s="1">
        <v>45535</v>
      </c>
      <c r="D487" t="s">
        <v>6</v>
      </c>
      <c r="E487" s="1">
        <v>45733</v>
      </c>
      <c r="F487">
        <f t="shared" ca="1" si="21"/>
        <v>6</v>
      </c>
      <c r="G487" t="str">
        <f t="shared" ca="1" si="22"/>
        <v>1. &lt;1yr</v>
      </c>
      <c r="H487">
        <f t="shared" si="23"/>
        <v>1</v>
      </c>
    </row>
    <row r="488" spans="1:8" x14ac:dyDescent="0.3">
      <c r="A488">
        <v>1273</v>
      </c>
      <c r="B488" t="s">
        <v>11</v>
      </c>
      <c r="C488" s="1">
        <v>45588</v>
      </c>
      <c r="D488" t="s">
        <v>7</v>
      </c>
      <c r="E488" t="s">
        <v>8</v>
      </c>
      <c r="F488">
        <f t="shared" ca="1" si="21"/>
        <v>21</v>
      </c>
      <c r="G488" t="str">
        <f t="shared" ca="1" si="22"/>
        <v>2. 1-3yr</v>
      </c>
      <c r="H488">
        <f t="shared" si="23"/>
        <v>0</v>
      </c>
    </row>
    <row r="489" spans="1:8" x14ac:dyDescent="0.3">
      <c r="A489">
        <v>1281</v>
      </c>
      <c r="B489" t="s">
        <v>11</v>
      </c>
      <c r="C489" s="1">
        <v>45322</v>
      </c>
      <c r="D489" t="s">
        <v>7</v>
      </c>
      <c r="E489" t="s">
        <v>8</v>
      </c>
      <c r="F489">
        <f t="shared" ca="1" si="21"/>
        <v>30</v>
      </c>
      <c r="G489" t="str">
        <f t="shared" ca="1" si="22"/>
        <v>2. 1-3yr</v>
      </c>
      <c r="H489">
        <f t="shared" si="23"/>
        <v>0</v>
      </c>
    </row>
    <row r="490" spans="1:8" x14ac:dyDescent="0.3">
      <c r="A490">
        <v>1283</v>
      </c>
      <c r="B490" t="s">
        <v>11</v>
      </c>
      <c r="C490" s="1">
        <v>46177</v>
      </c>
      <c r="D490" t="s">
        <v>7</v>
      </c>
      <c r="E490" t="s">
        <v>8</v>
      </c>
      <c r="F490">
        <f t="shared" ca="1" si="21"/>
        <v>2</v>
      </c>
      <c r="G490" t="str">
        <f t="shared" ca="1" si="22"/>
        <v>1. &lt;1yr</v>
      </c>
      <c r="H490">
        <f t="shared" si="23"/>
        <v>0</v>
      </c>
    </row>
    <row r="491" spans="1:8" x14ac:dyDescent="0.3">
      <c r="A491">
        <v>1285</v>
      </c>
      <c r="B491" t="s">
        <v>11</v>
      </c>
      <c r="C491" s="1">
        <v>46184</v>
      </c>
      <c r="D491" t="s">
        <v>7</v>
      </c>
      <c r="E491" t="s">
        <v>8</v>
      </c>
      <c r="F491">
        <f t="shared" ca="1" si="21"/>
        <v>2</v>
      </c>
      <c r="G491" t="str">
        <f t="shared" ca="1" si="22"/>
        <v>1. &lt;1yr</v>
      </c>
      <c r="H491">
        <f t="shared" si="23"/>
        <v>0</v>
      </c>
    </row>
    <row r="492" spans="1:8" x14ac:dyDescent="0.3">
      <c r="A492">
        <v>1293</v>
      </c>
      <c r="B492" t="s">
        <v>11</v>
      </c>
      <c r="C492" s="1">
        <v>45233</v>
      </c>
      <c r="D492" t="s">
        <v>7</v>
      </c>
      <c r="E492" t="s">
        <v>8</v>
      </c>
      <c r="F492">
        <f t="shared" ca="1" si="21"/>
        <v>33</v>
      </c>
      <c r="G492" t="str">
        <f t="shared" ca="1" si="22"/>
        <v>2. 1-3yr</v>
      </c>
      <c r="H492">
        <f t="shared" si="23"/>
        <v>0</v>
      </c>
    </row>
    <row r="493" spans="1:8" x14ac:dyDescent="0.3">
      <c r="A493">
        <v>1298</v>
      </c>
      <c r="B493" t="s">
        <v>11</v>
      </c>
      <c r="C493" s="1">
        <v>45147</v>
      </c>
      <c r="D493" t="s">
        <v>6</v>
      </c>
      <c r="E493" s="1">
        <v>45591</v>
      </c>
      <c r="F493">
        <f t="shared" ca="1" si="21"/>
        <v>14</v>
      </c>
      <c r="G493" t="str">
        <f t="shared" ca="1" si="22"/>
        <v>2. 1-3yr</v>
      </c>
      <c r="H493">
        <f t="shared" si="23"/>
        <v>1</v>
      </c>
    </row>
    <row r="494" spans="1:8" x14ac:dyDescent="0.3">
      <c r="A494">
        <v>1300</v>
      </c>
      <c r="B494" t="s">
        <v>11</v>
      </c>
      <c r="C494" s="1">
        <v>46146</v>
      </c>
      <c r="D494" t="s">
        <v>7</v>
      </c>
      <c r="E494" t="s">
        <v>8</v>
      </c>
      <c r="F494">
        <f t="shared" ca="1" si="21"/>
        <v>3</v>
      </c>
      <c r="G494" t="str">
        <f t="shared" ca="1" si="22"/>
        <v>1. &lt;1yr</v>
      </c>
      <c r="H494">
        <f t="shared" si="23"/>
        <v>0</v>
      </c>
    </row>
    <row r="495" spans="1:8" x14ac:dyDescent="0.3">
      <c r="A495">
        <v>1304</v>
      </c>
      <c r="B495" t="s">
        <v>11</v>
      </c>
      <c r="C495" s="1">
        <v>45609</v>
      </c>
      <c r="D495" t="s">
        <v>6</v>
      </c>
      <c r="E495" s="1">
        <v>45796</v>
      </c>
      <c r="F495">
        <f t="shared" ca="1" si="21"/>
        <v>6</v>
      </c>
      <c r="G495" t="str">
        <f t="shared" ca="1" si="22"/>
        <v>1. &lt;1yr</v>
      </c>
      <c r="H495">
        <f t="shared" si="23"/>
        <v>1</v>
      </c>
    </row>
    <row r="496" spans="1:8" x14ac:dyDescent="0.3">
      <c r="A496">
        <v>1309</v>
      </c>
      <c r="B496" t="s">
        <v>11</v>
      </c>
      <c r="C496" s="1">
        <v>45568</v>
      </c>
      <c r="D496" t="s">
        <v>6</v>
      </c>
      <c r="E496" s="1">
        <v>45905</v>
      </c>
      <c r="F496">
        <f t="shared" ca="1" si="21"/>
        <v>11</v>
      </c>
      <c r="G496" t="str">
        <f t="shared" ca="1" si="22"/>
        <v>1. &lt;1yr</v>
      </c>
      <c r="H496">
        <f t="shared" si="23"/>
        <v>1</v>
      </c>
    </row>
    <row r="497" spans="1:8" x14ac:dyDescent="0.3">
      <c r="A497">
        <v>1314</v>
      </c>
      <c r="B497" t="s">
        <v>11</v>
      </c>
      <c r="C497" s="1">
        <v>44718</v>
      </c>
      <c r="D497" t="s">
        <v>6</v>
      </c>
      <c r="E497" s="1">
        <v>45696</v>
      </c>
      <c r="F497">
        <f t="shared" ca="1" si="21"/>
        <v>32</v>
      </c>
      <c r="G497" t="str">
        <f t="shared" ca="1" si="22"/>
        <v>2. 1-3yr</v>
      </c>
      <c r="H497">
        <f t="shared" si="23"/>
        <v>1</v>
      </c>
    </row>
    <row r="498" spans="1:8" x14ac:dyDescent="0.3">
      <c r="A498">
        <v>1316</v>
      </c>
      <c r="B498" t="s">
        <v>11</v>
      </c>
      <c r="C498" s="1">
        <v>45539</v>
      </c>
      <c r="D498" t="s">
        <v>6</v>
      </c>
      <c r="E498" s="1">
        <v>45791</v>
      </c>
      <c r="F498">
        <f t="shared" ca="1" si="21"/>
        <v>8</v>
      </c>
      <c r="G498" t="str">
        <f t="shared" ca="1" si="22"/>
        <v>1. &lt;1yr</v>
      </c>
      <c r="H498">
        <f t="shared" si="23"/>
        <v>1</v>
      </c>
    </row>
    <row r="499" spans="1:8" x14ac:dyDescent="0.3">
      <c r="A499">
        <v>1318</v>
      </c>
      <c r="B499" t="s">
        <v>11</v>
      </c>
      <c r="C499" s="1">
        <v>44322</v>
      </c>
      <c r="D499" t="s">
        <v>7</v>
      </c>
      <c r="E499" t="s">
        <v>8</v>
      </c>
      <c r="F499">
        <f t="shared" ca="1" si="21"/>
        <v>63</v>
      </c>
      <c r="G499" t="str">
        <f t="shared" ca="1" si="22"/>
        <v>4. 5+yr</v>
      </c>
      <c r="H499">
        <f t="shared" si="23"/>
        <v>0</v>
      </c>
    </row>
    <row r="500" spans="1:8" x14ac:dyDescent="0.3">
      <c r="A500">
        <v>1319</v>
      </c>
      <c r="B500" t="s">
        <v>11</v>
      </c>
      <c r="C500" s="1">
        <v>45476</v>
      </c>
      <c r="D500" t="s">
        <v>7</v>
      </c>
      <c r="E500" t="s">
        <v>8</v>
      </c>
      <c r="F500">
        <f t="shared" ca="1" si="21"/>
        <v>25</v>
      </c>
      <c r="G500" t="str">
        <f t="shared" ca="1" si="22"/>
        <v>2. 1-3yr</v>
      </c>
      <c r="H500">
        <f t="shared" si="23"/>
        <v>0</v>
      </c>
    </row>
    <row r="501" spans="1:8" x14ac:dyDescent="0.3">
      <c r="A501">
        <v>1320</v>
      </c>
      <c r="B501" t="s">
        <v>11</v>
      </c>
      <c r="C501" s="1">
        <v>45405</v>
      </c>
      <c r="D501" t="s">
        <v>7</v>
      </c>
      <c r="E501" t="s">
        <v>8</v>
      </c>
      <c r="F501">
        <f t="shared" ca="1" si="21"/>
        <v>27</v>
      </c>
      <c r="G501" t="str">
        <f t="shared" ca="1" si="22"/>
        <v>2. 1-3yr</v>
      </c>
      <c r="H501">
        <f t="shared" si="23"/>
        <v>0</v>
      </c>
    </row>
    <row r="502" spans="1:8" x14ac:dyDescent="0.3">
      <c r="A502">
        <v>1321</v>
      </c>
      <c r="B502" t="s">
        <v>11</v>
      </c>
      <c r="C502" s="1">
        <v>45707</v>
      </c>
      <c r="D502" t="s">
        <v>7</v>
      </c>
      <c r="E502" t="s">
        <v>8</v>
      </c>
      <c r="F502">
        <f t="shared" ca="1" si="21"/>
        <v>17</v>
      </c>
      <c r="G502" t="str">
        <f t="shared" ca="1" si="22"/>
        <v>2. 1-3yr</v>
      </c>
      <c r="H502">
        <f t="shared" si="23"/>
        <v>0</v>
      </c>
    </row>
    <row r="503" spans="1:8" x14ac:dyDescent="0.3">
      <c r="A503">
        <v>1323</v>
      </c>
      <c r="B503" t="s">
        <v>11</v>
      </c>
      <c r="C503" s="1">
        <v>45355</v>
      </c>
      <c r="D503" t="s">
        <v>7</v>
      </c>
      <c r="E503" t="s">
        <v>8</v>
      </c>
      <c r="F503">
        <f t="shared" ca="1" si="21"/>
        <v>29</v>
      </c>
      <c r="G503" t="str">
        <f t="shared" ca="1" si="22"/>
        <v>2. 1-3yr</v>
      </c>
      <c r="H503">
        <f t="shared" si="23"/>
        <v>0</v>
      </c>
    </row>
    <row r="504" spans="1:8" x14ac:dyDescent="0.3">
      <c r="A504">
        <v>1329</v>
      </c>
      <c r="B504" t="s">
        <v>11</v>
      </c>
      <c r="C504" s="1">
        <v>45943</v>
      </c>
      <c r="D504" t="s">
        <v>7</v>
      </c>
      <c r="E504" t="s">
        <v>8</v>
      </c>
      <c r="F504">
        <f t="shared" ca="1" si="21"/>
        <v>10</v>
      </c>
      <c r="G504" t="str">
        <f t="shared" ca="1" si="22"/>
        <v>1. &lt;1yr</v>
      </c>
      <c r="H504">
        <f t="shared" si="23"/>
        <v>0</v>
      </c>
    </row>
    <row r="505" spans="1:8" x14ac:dyDescent="0.3">
      <c r="A505">
        <v>1330</v>
      </c>
      <c r="B505" t="s">
        <v>11</v>
      </c>
      <c r="C505" s="1">
        <v>44921</v>
      </c>
      <c r="D505" t="s">
        <v>7</v>
      </c>
      <c r="E505" t="s">
        <v>8</v>
      </c>
      <c r="F505">
        <f t="shared" ca="1" si="21"/>
        <v>43</v>
      </c>
      <c r="G505" t="str">
        <f t="shared" ca="1" si="22"/>
        <v>3. 3-5yr</v>
      </c>
      <c r="H505">
        <f t="shared" si="23"/>
        <v>0</v>
      </c>
    </row>
    <row r="506" spans="1:8" x14ac:dyDescent="0.3">
      <c r="A506">
        <v>1348</v>
      </c>
      <c r="B506" t="s">
        <v>11</v>
      </c>
      <c r="C506" s="1">
        <v>44399</v>
      </c>
      <c r="D506" t="s">
        <v>7</v>
      </c>
      <c r="E506" t="s">
        <v>8</v>
      </c>
      <c r="F506">
        <f t="shared" ca="1" si="21"/>
        <v>60</v>
      </c>
      <c r="G506" t="str">
        <f t="shared" ca="1" si="22"/>
        <v>4. 5+yr</v>
      </c>
      <c r="H506">
        <f t="shared" si="23"/>
        <v>0</v>
      </c>
    </row>
    <row r="507" spans="1:8" x14ac:dyDescent="0.3">
      <c r="A507">
        <v>1353</v>
      </c>
      <c r="B507" t="s">
        <v>11</v>
      </c>
      <c r="C507" s="1">
        <v>45835</v>
      </c>
      <c r="D507" t="s">
        <v>7</v>
      </c>
      <c r="E507" t="s">
        <v>8</v>
      </c>
      <c r="F507">
        <f t="shared" ca="1" si="21"/>
        <v>13</v>
      </c>
      <c r="G507" t="str">
        <f t="shared" ca="1" si="22"/>
        <v>2. 1-3yr</v>
      </c>
      <c r="H507">
        <f t="shared" si="23"/>
        <v>0</v>
      </c>
    </row>
    <row r="508" spans="1:8" x14ac:dyDescent="0.3">
      <c r="A508">
        <v>1356</v>
      </c>
      <c r="B508" t="s">
        <v>11</v>
      </c>
      <c r="C508" s="1">
        <v>44070</v>
      </c>
      <c r="D508" t="s">
        <v>7</v>
      </c>
      <c r="E508" t="s">
        <v>8</v>
      </c>
      <c r="F508">
        <f t="shared" ca="1" si="21"/>
        <v>71</v>
      </c>
      <c r="G508" t="str">
        <f t="shared" ca="1" si="22"/>
        <v>4. 5+yr</v>
      </c>
      <c r="H508">
        <f t="shared" si="23"/>
        <v>0</v>
      </c>
    </row>
    <row r="509" spans="1:8" x14ac:dyDescent="0.3">
      <c r="A509">
        <v>1360</v>
      </c>
      <c r="B509" t="s">
        <v>11</v>
      </c>
      <c r="C509" s="1">
        <v>43947</v>
      </c>
      <c r="D509" t="s">
        <v>6</v>
      </c>
      <c r="E509" s="1">
        <v>44883</v>
      </c>
      <c r="F509">
        <f t="shared" ca="1" si="21"/>
        <v>30</v>
      </c>
      <c r="G509" t="str">
        <f t="shared" ca="1" si="22"/>
        <v>2. 1-3yr</v>
      </c>
      <c r="H509">
        <f t="shared" si="23"/>
        <v>1</v>
      </c>
    </row>
    <row r="510" spans="1:8" x14ac:dyDescent="0.3">
      <c r="A510">
        <v>1367</v>
      </c>
      <c r="B510" t="s">
        <v>11</v>
      </c>
      <c r="C510" s="1">
        <v>45838</v>
      </c>
      <c r="D510" t="s">
        <v>7</v>
      </c>
      <c r="E510" t="s">
        <v>8</v>
      </c>
      <c r="F510">
        <f t="shared" ca="1" si="21"/>
        <v>13</v>
      </c>
      <c r="G510" t="str">
        <f t="shared" ca="1" si="22"/>
        <v>2. 1-3yr</v>
      </c>
      <c r="H510">
        <f t="shared" si="23"/>
        <v>0</v>
      </c>
    </row>
    <row r="511" spans="1:8" x14ac:dyDescent="0.3">
      <c r="A511">
        <v>1375</v>
      </c>
      <c r="B511" t="s">
        <v>11</v>
      </c>
      <c r="C511" s="1">
        <v>45563</v>
      </c>
      <c r="D511" t="s">
        <v>7</v>
      </c>
      <c r="E511" t="s">
        <v>8</v>
      </c>
      <c r="F511">
        <f t="shared" ca="1" si="21"/>
        <v>22</v>
      </c>
      <c r="G511" t="str">
        <f t="shared" ca="1" si="22"/>
        <v>2. 1-3yr</v>
      </c>
      <c r="H511">
        <f t="shared" si="23"/>
        <v>0</v>
      </c>
    </row>
    <row r="512" spans="1:8" x14ac:dyDescent="0.3">
      <c r="A512">
        <v>1377</v>
      </c>
      <c r="B512" t="s">
        <v>11</v>
      </c>
      <c r="C512" s="1">
        <v>44726</v>
      </c>
      <c r="D512" t="s">
        <v>7</v>
      </c>
      <c r="E512" t="s">
        <v>8</v>
      </c>
      <c r="F512">
        <f t="shared" ca="1" si="21"/>
        <v>50</v>
      </c>
      <c r="G512" t="str">
        <f t="shared" ca="1" si="22"/>
        <v>3. 3-5yr</v>
      </c>
      <c r="H512">
        <f t="shared" si="23"/>
        <v>0</v>
      </c>
    </row>
    <row r="513" spans="1:8" x14ac:dyDescent="0.3">
      <c r="A513">
        <v>1380</v>
      </c>
      <c r="B513" t="s">
        <v>11</v>
      </c>
      <c r="C513" s="1">
        <v>46184</v>
      </c>
      <c r="D513" t="s">
        <v>6</v>
      </c>
      <c r="E513" s="1">
        <v>46214</v>
      </c>
      <c r="F513">
        <f t="shared" ca="1" si="21"/>
        <v>1</v>
      </c>
      <c r="G513" t="str">
        <f t="shared" ca="1" si="22"/>
        <v>1. &lt;1yr</v>
      </c>
      <c r="H513">
        <f t="shared" si="23"/>
        <v>1</v>
      </c>
    </row>
    <row r="514" spans="1:8" x14ac:dyDescent="0.3">
      <c r="A514">
        <v>1384</v>
      </c>
      <c r="B514" t="s">
        <v>11</v>
      </c>
      <c r="C514" s="1">
        <v>45636</v>
      </c>
      <c r="D514" t="s">
        <v>7</v>
      </c>
      <c r="E514" t="s">
        <v>8</v>
      </c>
      <c r="F514">
        <f t="shared" ca="1" si="21"/>
        <v>20</v>
      </c>
      <c r="G514" t="str">
        <f t="shared" ca="1" si="22"/>
        <v>2. 1-3yr</v>
      </c>
      <c r="H514">
        <f t="shared" si="23"/>
        <v>0</v>
      </c>
    </row>
    <row r="515" spans="1:8" x14ac:dyDescent="0.3">
      <c r="A515">
        <v>1387</v>
      </c>
      <c r="B515" t="s">
        <v>11</v>
      </c>
      <c r="C515" s="1">
        <v>45508</v>
      </c>
      <c r="D515" t="s">
        <v>7</v>
      </c>
      <c r="E515" t="s">
        <v>8</v>
      </c>
      <c r="F515">
        <f t="shared" ref="F515:F578" ca="1" si="24">DATEDIF(C515, IF(OR(E515="",E515="NULL"), TODAY(), E515), "m")</f>
        <v>24</v>
      </c>
      <c r="G515" t="str">
        <f t="shared" ref="G515:G578" ca="1" si="25">IF(F515&lt;12,"1. &lt;1yr",IF(F515&lt;36,"2. 1-3yr",IF(F515&lt;60,"3. 3-5yr","4. 5+yr")))</f>
        <v>2. 1-3yr</v>
      </c>
      <c r="H515">
        <f t="shared" ref="H515:H578" si="26">IF(D515="Yes",1,0)</f>
        <v>0</v>
      </c>
    </row>
    <row r="516" spans="1:8" x14ac:dyDescent="0.3">
      <c r="A516">
        <v>1397</v>
      </c>
      <c r="B516" t="s">
        <v>11</v>
      </c>
      <c r="C516" s="1">
        <v>45029</v>
      </c>
      <c r="D516" t="s">
        <v>7</v>
      </c>
      <c r="E516" t="s">
        <v>8</v>
      </c>
      <c r="F516">
        <f t="shared" ca="1" si="24"/>
        <v>40</v>
      </c>
      <c r="G516" t="str">
        <f t="shared" ca="1" si="25"/>
        <v>3. 3-5yr</v>
      </c>
      <c r="H516">
        <f t="shared" si="26"/>
        <v>0</v>
      </c>
    </row>
    <row r="517" spans="1:8" x14ac:dyDescent="0.3">
      <c r="A517">
        <v>1419</v>
      </c>
      <c r="B517" t="s">
        <v>11</v>
      </c>
      <c r="C517" s="1">
        <v>46161</v>
      </c>
      <c r="D517" t="s">
        <v>7</v>
      </c>
      <c r="E517" t="s">
        <v>8</v>
      </c>
      <c r="F517">
        <f t="shared" ca="1" si="24"/>
        <v>2</v>
      </c>
      <c r="G517" t="str">
        <f t="shared" ca="1" si="25"/>
        <v>1. &lt;1yr</v>
      </c>
      <c r="H517">
        <f t="shared" si="26"/>
        <v>0</v>
      </c>
    </row>
    <row r="518" spans="1:8" x14ac:dyDescent="0.3">
      <c r="A518">
        <v>1436</v>
      </c>
      <c r="B518" t="s">
        <v>11</v>
      </c>
      <c r="C518" s="1">
        <v>45503</v>
      </c>
      <c r="D518" t="s">
        <v>7</v>
      </c>
      <c r="E518" t="s">
        <v>8</v>
      </c>
      <c r="F518">
        <f t="shared" ca="1" si="24"/>
        <v>24</v>
      </c>
      <c r="G518" t="str">
        <f t="shared" ca="1" si="25"/>
        <v>2. 1-3yr</v>
      </c>
      <c r="H518">
        <f t="shared" si="26"/>
        <v>0</v>
      </c>
    </row>
    <row r="519" spans="1:8" x14ac:dyDescent="0.3">
      <c r="A519">
        <v>1438</v>
      </c>
      <c r="B519" t="s">
        <v>11</v>
      </c>
      <c r="C519" s="1">
        <v>45510</v>
      </c>
      <c r="D519" t="s">
        <v>7</v>
      </c>
      <c r="E519" t="s">
        <v>8</v>
      </c>
      <c r="F519">
        <f t="shared" ca="1" si="24"/>
        <v>24</v>
      </c>
      <c r="G519" t="str">
        <f t="shared" ca="1" si="25"/>
        <v>2. 1-3yr</v>
      </c>
      <c r="H519">
        <f t="shared" si="26"/>
        <v>0</v>
      </c>
    </row>
    <row r="520" spans="1:8" x14ac:dyDescent="0.3">
      <c r="A520">
        <v>1439</v>
      </c>
      <c r="B520" t="s">
        <v>11</v>
      </c>
      <c r="C520" s="1">
        <v>45883</v>
      </c>
      <c r="D520" t="s">
        <v>6</v>
      </c>
      <c r="E520" s="1">
        <v>45913</v>
      </c>
      <c r="F520">
        <f t="shared" ca="1" si="24"/>
        <v>0</v>
      </c>
      <c r="G520" t="str">
        <f t="shared" ca="1" si="25"/>
        <v>1. &lt;1yr</v>
      </c>
      <c r="H520">
        <f t="shared" si="26"/>
        <v>1</v>
      </c>
    </row>
    <row r="521" spans="1:8" x14ac:dyDescent="0.3">
      <c r="A521">
        <v>1446</v>
      </c>
      <c r="B521" t="s">
        <v>11</v>
      </c>
      <c r="C521" s="1">
        <v>45609</v>
      </c>
      <c r="D521" t="s">
        <v>7</v>
      </c>
      <c r="E521" t="s">
        <v>8</v>
      </c>
      <c r="F521">
        <f t="shared" ca="1" si="24"/>
        <v>21</v>
      </c>
      <c r="G521" t="str">
        <f t="shared" ca="1" si="25"/>
        <v>2. 1-3yr</v>
      </c>
      <c r="H521">
        <f t="shared" si="26"/>
        <v>0</v>
      </c>
    </row>
    <row r="522" spans="1:8" x14ac:dyDescent="0.3">
      <c r="A522">
        <v>1449</v>
      </c>
      <c r="B522" t="s">
        <v>11</v>
      </c>
      <c r="C522" s="1">
        <v>44558</v>
      </c>
      <c r="D522" t="s">
        <v>7</v>
      </c>
      <c r="E522" t="s">
        <v>8</v>
      </c>
      <c r="F522">
        <f t="shared" ca="1" si="24"/>
        <v>55</v>
      </c>
      <c r="G522" t="str">
        <f t="shared" ca="1" si="25"/>
        <v>3. 3-5yr</v>
      </c>
      <c r="H522">
        <f t="shared" si="26"/>
        <v>0</v>
      </c>
    </row>
    <row r="523" spans="1:8" x14ac:dyDescent="0.3">
      <c r="A523">
        <v>1460</v>
      </c>
      <c r="B523" t="s">
        <v>11</v>
      </c>
      <c r="C523" s="1">
        <v>45912</v>
      </c>
      <c r="D523" t="s">
        <v>7</v>
      </c>
      <c r="E523" t="s">
        <v>8</v>
      </c>
      <c r="F523">
        <f t="shared" ca="1" si="24"/>
        <v>11</v>
      </c>
      <c r="G523" t="str">
        <f t="shared" ca="1" si="25"/>
        <v>1. &lt;1yr</v>
      </c>
      <c r="H523">
        <f t="shared" si="26"/>
        <v>0</v>
      </c>
    </row>
    <row r="524" spans="1:8" x14ac:dyDescent="0.3">
      <c r="A524">
        <v>1466</v>
      </c>
      <c r="B524" t="s">
        <v>11</v>
      </c>
      <c r="C524" s="1">
        <v>46004</v>
      </c>
      <c r="D524" t="s">
        <v>7</v>
      </c>
      <c r="E524" t="s">
        <v>8</v>
      </c>
      <c r="F524">
        <f t="shared" ca="1" si="24"/>
        <v>8</v>
      </c>
      <c r="G524" t="str">
        <f t="shared" ca="1" si="25"/>
        <v>1. &lt;1yr</v>
      </c>
      <c r="H524">
        <f t="shared" si="26"/>
        <v>0</v>
      </c>
    </row>
    <row r="525" spans="1:8" x14ac:dyDescent="0.3">
      <c r="A525">
        <v>1479</v>
      </c>
      <c r="B525" t="s">
        <v>11</v>
      </c>
      <c r="C525" s="1">
        <v>45222</v>
      </c>
      <c r="D525" t="s">
        <v>7</v>
      </c>
      <c r="E525" t="s">
        <v>8</v>
      </c>
      <c r="F525">
        <f t="shared" ca="1" si="24"/>
        <v>33</v>
      </c>
      <c r="G525" t="str">
        <f t="shared" ca="1" si="25"/>
        <v>2. 1-3yr</v>
      </c>
      <c r="H525">
        <f t="shared" si="26"/>
        <v>0</v>
      </c>
    </row>
    <row r="526" spans="1:8" x14ac:dyDescent="0.3">
      <c r="A526">
        <v>1486</v>
      </c>
      <c r="B526" t="s">
        <v>11</v>
      </c>
      <c r="C526" s="1">
        <v>45435</v>
      </c>
      <c r="D526" t="s">
        <v>7</v>
      </c>
      <c r="E526" t="s">
        <v>8</v>
      </c>
      <c r="F526">
        <f t="shared" ca="1" si="24"/>
        <v>26</v>
      </c>
      <c r="G526" t="str">
        <f t="shared" ca="1" si="25"/>
        <v>2. 1-3yr</v>
      </c>
      <c r="H526">
        <f t="shared" si="26"/>
        <v>0</v>
      </c>
    </row>
    <row r="527" spans="1:8" x14ac:dyDescent="0.3">
      <c r="A527">
        <v>1490</v>
      </c>
      <c r="B527" t="s">
        <v>11</v>
      </c>
      <c r="C527" s="1">
        <v>45583</v>
      </c>
      <c r="D527" t="s">
        <v>7</v>
      </c>
      <c r="E527" t="s">
        <v>8</v>
      </c>
      <c r="F527">
        <f t="shared" ca="1" si="24"/>
        <v>22</v>
      </c>
      <c r="G527" t="str">
        <f t="shared" ca="1" si="25"/>
        <v>2. 1-3yr</v>
      </c>
      <c r="H527">
        <f t="shared" si="26"/>
        <v>0</v>
      </c>
    </row>
    <row r="528" spans="1:8" x14ac:dyDescent="0.3">
      <c r="A528">
        <v>1494</v>
      </c>
      <c r="B528" t="s">
        <v>11</v>
      </c>
      <c r="C528" s="1">
        <v>44592</v>
      </c>
      <c r="D528" t="s">
        <v>7</v>
      </c>
      <c r="E528" t="s">
        <v>8</v>
      </c>
      <c r="F528">
        <f t="shared" ca="1" si="24"/>
        <v>54</v>
      </c>
      <c r="G528" t="str">
        <f t="shared" ca="1" si="25"/>
        <v>3. 3-5yr</v>
      </c>
      <c r="H528">
        <f t="shared" si="26"/>
        <v>0</v>
      </c>
    </row>
    <row r="529" spans="1:8" x14ac:dyDescent="0.3">
      <c r="A529">
        <v>1502</v>
      </c>
      <c r="B529" t="s">
        <v>11</v>
      </c>
      <c r="C529" s="1">
        <v>45274</v>
      </c>
      <c r="D529" t="s">
        <v>6</v>
      </c>
      <c r="E529" s="1">
        <v>45852</v>
      </c>
      <c r="F529">
        <f t="shared" ca="1" si="24"/>
        <v>19</v>
      </c>
      <c r="G529" t="str">
        <f t="shared" ca="1" si="25"/>
        <v>2. 1-3yr</v>
      </c>
      <c r="H529">
        <f t="shared" si="26"/>
        <v>1</v>
      </c>
    </row>
    <row r="530" spans="1:8" x14ac:dyDescent="0.3">
      <c r="A530">
        <v>1507</v>
      </c>
      <c r="B530" t="s">
        <v>11</v>
      </c>
      <c r="C530" s="1">
        <v>46180</v>
      </c>
      <c r="D530" t="s">
        <v>7</v>
      </c>
      <c r="E530" t="s">
        <v>8</v>
      </c>
      <c r="F530">
        <f t="shared" ca="1" si="24"/>
        <v>2</v>
      </c>
      <c r="G530" t="str">
        <f t="shared" ca="1" si="25"/>
        <v>1. &lt;1yr</v>
      </c>
      <c r="H530">
        <f t="shared" si="26"/>
        <v>0</v>
      </c>
    </row>
    <row r="531" spans="1:8" x14ac:dyDescent="0.3">
      <c r="A531">
        <v>1512</v>
      </c>
      <c r="B531" t="s">
        <v>11</v>
      </c>
      <c r="C531" s="1">
        <v>44979</v>
      </c>
      <c r="D531" t="s">
        <v>7</v>
      </c>
      <c r="E531" t="s">
        <v>8</v>
      </c>
      <c r="F531">
        <f t="shared" ca="1" si="24"/>
        <v>41</v>
      </c>
      <c r="G531" t="str">
        <f t="shared" ca="1" si="25"/>
        <v>3. 3-5yr</v>
      </c>
      <c r="H531">
        <f t="shared" si="26"/>
        <v>0</v>
      </c>
    </row>
    <row r="532" spans="1:8" x14ac:dyDescent="0.3">
      <c r="A532">
        <v>1537</v>
      </c>
      <c r="B532" t="s">
        <v>11</v>
      </c>
      <c r="C532" s="1">
        <v>44685</v>
      </c>
      <c r="D532" t="s">
        <v>7</v>
      </c>
      <c r="E532" t="s">
        <v>8</v>
      </c>
      <c r="F532">
        <f t="shared" ca="1" si="24"/>
        <v>51</v>
      </c>
      <c r="G532" t="str">
        <f t="shared" ca="1" si="25"/>
        <v>3. 3-5yr</v>
      </c>
      <c r="H532">
        <f t="shared" si="26"/>
        <v>0</v>
      </c>
    </row>
    <row r="533" spans="1:8" x14ac:dyDescent="0.3">
      <c r="A533">
        <v>1540</v>
      </c>
      <c r="B533" t="s">
        <v>11</v>
      </c>
      <c r="C533" s="1">
        <v>45110</v>
      </c>
      <c r="D533" t="s">
        <v>6</v>
      </c>
      <c r="E533" s="1">
        <v>46229</v>
      </c>
      <c r="F533">
        <f t="shared" ca="1" si="24"/>
        <v>36</v>
      </c>
      <c r="G533" t="str">
        <f t="shared" ca="1" si="25"/>
        <v>3. 3-5yr</v>
      </c>
      <c r="H533">
        <f t="shared" si="26"/>
        <v>1</v>
      </c>
    </row>
    <row r="534" spans="1:8" x14ac:dyDescent="0.3">
      <c r="A534">
        <v>1547</v>
      </c>
      <c r="B534" t="s">
        <v>11</v>
      </c>
      <c r="C534" s="1">
        <v>44736</v>
      </c>
      <c r="D534" t="s">
        <v>7</v>
      </c>
      <c r="E534" t="s">
        <v>8</v>
      </c>
      <c r="F534">
        <f t="shared" ca="1" si="24"/>
        <v>49</v>
      </c>
      <c r="G534" t="str">
        <f t="shared" ca="1" si="25"/>
        <v>3. 3-5yr</v>
      </c>
      <c r="H534">
        <f t="shared" si="26"/>
        <v>0</v>
      </c>
    </row>
    <row r="535" spans="1:8" x14ac:dyDescent="0.3">
      <c r="A535">
        <v>1549</v>
      </c>
      <c r="B535" t="s">
        <v>11</v>
      </c>
      <c r="C535" s="1">
        <v>45864</v>
      </c>
      <c r="D535" t="s">
        <v>6</v>
      </c>
      <c r="E535" s="1">
        <v>45894</v>
      </c>
      <c r="F535">
        <f t="shared" ca="1" si="24"/>
        <v>0</v>
      </c>
      <c r="G535" t="str">
        <f t="shared" ca="1" si="25"/>
        <v>1. &lt;1yr</v>
      </c>
      <c r="H535">
        <f t="shared" si="26"/>
        <v>1</v>
      </c>
    </row>
    <row r="536" spans="1:8" x14ac:dyDescent="0.3">
      <c r="A536">
        <v>1551</v>
      </c>
      <c r="B536" t="s">
        <v>11</v>
      </c>
      <c r="C536" s="1">
        <v>46058</v>
      </c>
      <c r="D536" t="s">
        <v>6</v>
      </c>
      <c r="E536" s="1">
        <v>46088</v>
      </c>
      <c r="F536">
        <f t="shared" ca="1" si="24"/>
        <v>1</v>
      </c>
      <c r="G536" t="str">
        <f t="shared" ca="1" si="25"/>
        <v>1. &lt;1yr</v>
      </c>
      <c r="H536">
        <f t="shared" si="26"/>
        <v>1</v>
      </c>
    </row>
    <row r="537" spans="1:8" x14ac:dyDescent="0.3">
      <c r="A537">
        <v>1554</v>
      </c>
      <c r="B537" t="s">
        <v>11</v>
      </c>
      <c r="C537" s="1">
        <v>45399</v>
      </c>
      <c r="D537" t="s">
        <v>7</v>
      </c>
      <c r="E537" t="s">
        <v>8</v>
      </c>
      <c r="F537">
        <f t="shared" ca="1" si="24"/>
        <v>28</v>
      </c>
      <c r="G537" t="str">
        <f t="shared" ca="1" si="25"/>
        <v>2. 1-3yr</v>
      </c>
      <c r="H537">
        <f t="shared" si="26"/>
        <v>0</v>
      </c>
    </row>
    <row r="538" spans="1:8" x14ac:dyDescent="0.3">
      <c r="A538">
        <v>1557</v>
      </c>
      <c r="B538" t="s">
        <v>11</v>
      </c>
      <c r="C538" s="1">
        <v>45772</v>
      </c>
      <c r="D538" t="s">
        <v>7</v>
      </c>
      <c r="E538" t="s">
        <v>8</v>
      </c>
      <c r="F538">
        <f t="shared" ca="1" si="24"/>
        <v>15</v>
      </c>
      <c r="G538" t="str">
        <f t="shared" ca="1" si="25"/>
        <v>2. 1-3yr</v>
      </c>
      <c r="H538">
        <f t="shared" si="26"/>
        <v>0</v>
      </c>
    </row>
    <row r="539" spans="1:8" x14ac:dyDescent="0.3">
      <c r="A539">
        <v>1559</v>
      </c>
      <c r="B539" t="s">
        <v>11</v>
      </c>
      <c r="C539" s="1">
        <v>44378</v>
      </c>
      <c r="D539" t="s">
        <v>7</v>
      </c>
      <c r="E539" t="s">
        <v>8</v>
      </c>
      <c r="F539">
        <f t="shared" ca="1" si="24"/>
        <v>61</v>
      </c>
      <c r="G539" t="str">
        <f t="shared" ca="1" si="25"/>
        <v>4. 5+yr</v>
      </c>
      <c r="H539">
        <f t="shared" si="26"/>
        <v>0</v>
      </c>
    </row>
    <row r="540" spans="1:8" x14ac:dyDescent="0.3">
      <c r="A540">
        <v>1562</v>
      </c>
      <c r="B540" t="s">
        <v>11</v>
      </c>
      <c r="C540" s="1">
        <v>46113</v>
      </c>
      <c r="D540" t="s">
        <v>7</v>
      </c>
      <c r="E540" t="s">
        <v>8</v>
      </c>
      <c r="F540">
        <f t="shared" ca="1" si="24"/>
        <v>4</v>
      </c>
      <c r="G540" t="str">
        <f t="shared" ca="1" si="25"/>
        <v>1. &lt;1yr</v>
      </c>
      <c r="H540">
        <f t="shared" si="26"/>
        <v>0</v>
      </c>
    </row>
    <row r="541" spans="1:8" x14ac:dyDescent="0.3">
      <c r="A541">
        <v>1569</v>
      </c>
      <c r="B541" t="s">
        <v>11</v>
      </c>
      <c r="C541" s="1">
        <v>44481</v>
      </c>
      <c r="D541" t="s">
        <v>7</v>
      </c>
      <c r="E541" t="s">
        <v>8</v>
      </c>
      <c r="F541">
        <f t="shared" ca="1" si="24"/>
        <v>58</v>
      </c>
      <c r="G541" t="str">
        <f t="shared" ca="1" si="25"/>
        <v>3. 3-5yr</v>
      </c>
      <c r="H541">
        <f t="shared" si="26"/>
        <v>0</v>
      </c>
    </row>
    <row r="542" spans="1:8" x14ac:dyDescent="0.3">
      <c r="A542">
        <v>1577</v>
      </c>
      <c r="B542" t="s">
        <v>11</v>
      </c>
      <c r="C542" s="1">
        <v>44988</v>
      </c>
      <c r="D542" t="s">
        <v>7</v>
      </c>
      <c r="E542" t="s">
        <v>8</v>
      </c>
      <c r="F542">
        <f t="shared" ca="1" si="24"/>
        <v>41</v>
      </c>
      <c r="G542" t="str">
        <f t="shared" ca="1" si="25"/>
        <v>3. 3-5yr</v>
      </c>
      <c r="H542">
        <f t="shared" si="26"/>
        <v>0</v>
      </c>
    </row>
    <row r="543" spans="1:8" x14ac:dyDescent="0.3">
      <c r="A543">
        <v>1578</v>
      </c>
      <c r="B543" t="s">
        <v>11</v>
      </c>
      <c r="C543" s="1">
        <v>46089</v>
      </c>
      <c r="D543" t="s">
        <v>6</v>
      </c>
      <c r="E543" s="1">
        <v>46119</v>
      </c>
      <c r="F543">
        <f t="shared" ca="1" si="24"/>
        <v>0</v>
      </c>
      <c r="G543" t="str">
        <f t="shared" ca="1" si="25"/>
        <v>1. &lt;1yr</v>
      </c>
      <c r="H543">
        <f t="shared" si="26"/>
        <v>1</v>
      </c>
    </row>
    <row r="544" spans="1:8" x14ac:dyDescent="0.3">
      <c r="A544">
        <v>1579</v>
      </c>
      <c r="B544" t="s">
        <v>11</v>
      </c>
      <c r="C544" s="1">
        <v>45584</v>
      </c>
      <c r="D544" t="s">
        <v>6</v>
      </c>
      <c r="E544" s="1">
        <v>45911</v>
      </c>
      <c r="F544">
        <f t="shared" ca="1" si="24"/>
        <v>10</v>
      </c>
      <c r="G544" t="str">
        <f t="shared" ca="1" si="25"/>
        <v>1. &lt;1yr</v>
      </c>
      <c r="H544">
        <f t="shared" si="26"/>
        <v>1</v>
      </c>
    </row>
    <row r="545" spans="1:8" x14ac:dyDescent="0.3">
      <c r="A545">
        <v>1588</v>
      </c>
      <c r="B545" t="s">
        <v>11</v>
      </c>
      <c r="C545" s="1">
        <v>46189</v>
      </c>
      <c r="D545" t="s">
        <v>7</v>
      </c>
      <c r="E545" t="s">
        <v>8</v>
      </c>
      <c r="F545">
        <f t="shared" ca="1" si="24"/>
        <v>2</v>
      </c>
      <c r="G545" t="str">
        <f t="shared" ca="1" si="25"/>
        <v>1. &lt;1yr</v>
      </c>
      <c r="H545">
        <f t="shared" si="26"/>
        <v>0</v>
      </c>
    </row>
    <row r="546" spans="1:8" x14ac:dyDescent="0.3">
      <c r="A546">
        <v>1590</v>
      </c>
      <c r="B546" t="s">
        <v>11</v>
      </c>
      <c r="C546" s="1">
        <v>45595</v>
      </c>
      <c r="D546" t="s">
        <v>6</v>
      </c>
      <c r="E546" s="1">
        <v>45767</v>
      </c>
      <c r="F546">
        <f t="shared" ca="1" si="24"/>
        <v>5</v>
      </c>
      <c r="G546" t="str">
        <f t="shared" ca="1" si="25"/>
        <v>1. &lt;1yr</v>
      </c>
      <c r="H546">
        <f t="shared" si="26"/>
        <v>1</v>
      </c>
    </row>
    <row r="547" spans="1:8" x14ac:dyDescent="0.3">
      <c r="A547">
        <v>1605</v>
      </c>
      <c r="B547" t="s">
        <v>11</v>
      </c>
      <c r="C547" s="1">
        <v>45627</v>
      </c>
      <c r="D547" t="s">
        <v>7</v>
      </c>
      <c r="E547" t="s">
        <v>8</v>
      </c>
      <c r="F547">
        <f t="shared" ca="1" si="24"/>
        <v>20</v>
      </c>
      <c r="G547" t="str">
        <f t="shared" ca="1" si="25"/>
        <v>2. 1-3yr</v>
      </c>
      <c r="H547">
        <f t="shared" si="26"/>
        <v>0</v>
      </c>
    </row>
    <row r="548" spans="1:8" x14ac:dyDescent="0.3">
      <c r="A548">
        <v>1613</v>
      </c>
      <c r="B548" t="s">
        <v>11</v>
      </c>
      <c r="C548" s="1">
        <v>45543</v>
      </c>
      <c r="D548" t="s">
        <v>7</v>
      </c>
      <c r="E548" t="s">
        <v>8</v>
      </c>
      <c r="F548">
        <f t="shared" ca="1" si="24"/>
        <v>23</v>
      </c>
      <c r="G548" t="str">
        <f t="shared" ca="1" si="25"/>
        <v>2. 1-3yr</v>
      </c>
      <c r="H548">
        <f t="shared" si="26"/>
        <v>0</v>
      </c>
    </row>
    <row r="549" spans="1:8" x14ac:dyDescent="0.3">
      <c r="A549">
        <v>1617</v>
      </c>
      <c r="B549" t="s">
        <v>11</v>
      </c>
      <c r="C549" s="1">
        <v>44630</v>
      </c>
      <c r="D549" t="s">
        <v>7</v>
      </c>
      <c r="E549" t="s">
        <v>8</v>
      </c>
      <c r="F549">
        <f t="shared" ca="1" si="24"/>
        <v>53</v>
      </c>
      <c r="G549" t="str">
        <f t="shared" ca="1" si="25"/>
        <v>3. 3-5yr</v>
      </c>
      <c r="H549">
        <f t="shared" si="26"/>
        <v>0</v>
      </c>
    </row>
    <row r="550" spans="1:8" x14ac:dyDescent="0.3">
      <c r="A550">
        <v>1620</v>
      </c>
      <c r="B550" t="s">
        <v>11</v>
      </c>
      <c r="C550" s="1">
        <v>45889</v>
      </c>
      <c r="D550" t="s">
        <v>7</v>
      </c>
      <c r="E550" t="s">
        <v>8</v>
      </c>
      <c r="F550">
        <f t="shared" ca="1" si="24"/>
        <v>11</v>
      </c>
      <c r="G550" t="str">
        <f t="shared" ca="1" si="25"/>
        <v>1. &lt;1yr</v>
      </c>
      <c r="H550">
        <f t="shared" si="26"/>
        <v>0</v>
      </c>
    </row>
    <row r="551" spans="1:8" x14ac:dyDescent="0.3">
      <c r="A551">
        <v>1621</v>
      </c>
      <c r="B551" t="s">
        <v>11</v>
      </c>
      <c r="C551" s="1">
        <v>45788</v>
      </c>
      <c r="D551" t="s">
        <v>6</v>
      </c>
      <c r="E551" s="1">
        <v>45991</v>
      </c>
      <c r="F551">
        <f t="shared" ca="1" si="24"/>
        <v>6</v>
      </c>
      <c r="G551" t="str">
        <f t="shared" ca="1" si="25"/>
        <v>1. &lt;1yr</v>
      </c>
      <c r="H551">
        <f t="shared" si="26"/>
        <v>1</v>
      </c>
    </row>
    <row r="552" spans="1:8" x14ac:dyDescent="0.3">
      <c r="A552">
        <v>1626</v>
      </c>
      <c r="B552" t="s">
        <v>11</v>
      </c>
      <c r="C552" s="1">
        <v>45924</v>
      </c>
      <c r="D552" t="s">
        <v>7</v>
      </c>
      <c r="E552" t="s">
        <v>8</v>
      </c>
      <c r="F552">
        <f t="shared" ca="1" si="24"/>
        <v>10</v>
      </c>
      <c r="G552" t="str">
        <f t="shared" ca="1" si="25"/>
        <v>1. &lt;1yr</v>
      </c>
      <c r="H552">
        <f t="shared" si="26"/>
        <v>0</v>
      </c>
    </row>
    <row r="553" spans="1:8" x14ac:dyDescent="0.3">
      <c r="A553">
        <v>1628</v>
      </c>
      <c r="B553" t="s">
        <v>11</v>
      </c>
      <c r="C553" s="1">
        <v>45658</v>
      </c>
      <c r="D553" t="s">
        <v>6</v>
      </c>
      <c r="E553" s="1">
        <v>45880</v>
      </c>
      <c r="F553">
        <f t="shared" ca="1" si="24"/>
        <v>7</v>
      </c>
      <c r="G553" t="str">
        <f t="shared" ca="1" si="25"/>
        <v>1. &lt;1yr</v>
      </c>
      <c r="H553">
        <f t="shared" si="26"/>
        <v>1</v>
      </c>
    </row>
    <row r="554" spans="1:8" x14ac:dyDescent="0.3">
      <c r="A554">
        <v>1642</v>
      </c>
      <c r="B554" t="s">
        <v>11</v>
      </c>
      <c r="C554" s="1">
        <v>45328</v>
      </c>
      <c r="D554" t="s">
        <v>7</v>
      </c>
      <c r="E554" t="s">
        <v>8</v>
      </c>
      <c r="F554">
        <f t="shared" ca="1" si="24"/>
        <v>30</v>
      </c>
      <c r="G554" t="str">
        <f t="shared" ca="1" si="25"/>
        <v>2. 1-3yr</v>
      </c>
      <c r="H554">
        <f t="shared" si="26"/>
        <v>0</v>
      </c>
    </row>
    <row r="555" spans="1:8" x14ac:dyDescent="0.3">
      <c r="A555">
        <v>1644</v>
      </c>
      <c r="B555" t="s">
        <v>11</v>
      </c>
      <c r="C555" s="1">
        <v>44176</v>
      </c>
      <c r="D555" t="s">
        <v>7</v>
      </c>
      <c r="E555" t="s">
        <v>8</v>
      </c>
      <c r="F555">
        <f t="shared" ca="1" si="24"/>
        <v>68</v>
      </c>
      <c r="G555" t="str">
        <f t="shared" ca="1" si="25"/>
        <v>4. 5+yr</v>
      </c>
      <c r="H555">
        <f t="shared" si="26"/>
        <v>0</v>
      </c>
    </row>
    <row r="556" spans="1:8" x14ac:dyDescent="0.3">
      <c r="A556">
        <v>1647</v>
      </c>
      <c r="B556" t="s">
        <v>11</v>
      </c>
      <c r="C556" s="1">
        <v>45849</v>
      </c>
      <c r="D556" t="s">
        <v>7</v>
      </c>
      <c r="E556" t="s">
        <v>8</v>
      </c>
      <c r="F556">
        <f t="shared" ca="1" si="24"/>
        <v>13</v>
      </c>
      <c r="G556" t="str">
        <f t="shared" ca="1" si="25"/>
        <v>2. 1-3yr</v>
      </c>
      <c r="H556">
        <f t="shared" si="26"/>
        <v>0</v>
      </c>
    </row>
    <row r="557" spans="1:8" x14ac:dyDescent="0.3">
      <c r="A557">
        <v>1649</v>
      </c>
      <c r="B557" t="s">
        <v>11</v>
      </c>
      <c r="C557" s="1">
        <v>44957</v>
      </c>
      <c r="D557" t="s">
        <v>7</v>
      </c>
      <c r="E557" t="s">
        <v>8</v>
      </c>
      <c r="F557">
        <f t="shared" ca="1" si="24"/>
        <v>42</v>
      </c>
      <c r="G557" t="str">
        <f t="shared" ca="1" si="25"/>
        <v>3. 3-5yr</v>
      </c>
      <c r="H557">
        <f t="shared" si="26"/>
        <v>0</v>
      </c>
    </row>
    <row r="558" spans="1:8" x14ac:dyDescent="0.3">
      <c r="A558">
        <v>1659</v>
      </c>
      <c r="B558" t="s">
        <v>11</v>
      </c>
      <c r="C558" s="1">
        <v>45630</v>
      </c>
      <c r="D558" t="s">
        <v>7</v>
      </c>
      <c r="E558" t="s">
        <v>8</v>
      </c>
      <c r="F558">
        <f t="shared" ca="1" si="24"/>
        <v>20</v>
      </c>
      <c r="G558" t="str">
        <f t="shared" ca="1" si="25"/>
        <v>2. 1-3yr</v>
      </c>
      <c r="H558">
        <f t="shared" si="26"/>
        <v>0</v>
      </c>
    </row>
    <row r="559" spans="1:8" x14ac:dyDescent="0.3">
      <c r="A559">
        <v>1676</v>
      </c>
      <c r="B559" t="s">
        <v>11</v>
      </c>
      <c r="C559" s="1">
        <v>45951</v>
      </c>
      <c r="D559" t="s">
        <v>6</v>
      </c>
      <c r="E559" s="1">
        <v>45981</v>
      </c>
      <c r="F559">
        <f t="shared" ca="1" si="24"/>
        <v>0</v>
      </c>
      <c r="G559" t="str">
        <f t="shared" ca="1" si="25"/>
        <v>1. &lt;1yr</v>
      </c>
      <c r="H559">
        <f t="shared" si="26"/>
        <v>1</v>
      </c>
    </row>
    <row r="560" spans="1:8" x14ac:dyDescent="0.3">
      <c r="A560">
        <v>1677</v>
      </c>
      <c r="B560" t="s">
        <v>11</v>
      </c>
      <c r="C560" s="1">
        <v>44699</v>
      </c>
      <c r="D560" t="s">
        <v>7</v>
      </c>
      <c r="E560" t="s">
        <v>8</v>
      </c>
      <c r="F560">
        <f t="shared" ca="1" si="24"/>
        <v>51</v>
      </c>
      <c r="G560" t="str">
        <f t="shared" ca="1" si="25"/>
        <v>3. 3-5yr</v>
      </c>
      <c r="H560">
        <f t="shared" si="26"/>
        <v>0</v>
      </c>
    </row>
    <row r="561" spans="1:8" x14ac:dyDescent="0.3">
      <c r="A561">
        <v>1680</v>
      </c>
      <c r="B561" t="s">
        <v>11</v>
      </c>
      <c r="C561" s="1">
        <v>46008</v>
      </c>
      <c r="D561" t="s">
        <v>7</v>
      </c>
      <c r="E561" t="s">
        <v>8</v>
      </c>
      <c r="F561">
        <f t="shared" ca="1" si="24"/>
        <v>8</v>
      </c>
      <c r="G561" t="str">
        <f t="shared" ca="1" si="25"/>
        <v>1. &lt;1yr</v>
      </c>
      <c r="H561">
        <f t="shared" si="26"/>
        <v>0</v>
      </c>
    </row>
    <row r="562" spans="1:8" x14ac:dyDescent="0.3">
      <c r="A562">
        <v>1695</v>
      </c>
      <c r="B562" t="s">
        <v>11</v>
      </c>
      <c r="C562" s="1">
        <v>46183</v>
      </c>
      <c r="D562" t="s">
        <v>7</v>
      </c>
      <c r="E562" t="s">
        <v>8</v>
      </c>
      <c r="F562">
        <f t="shared" ca="1" si="24"/>
        <v>2</v>
      </c>
      <c r="G562" t="str">
        <f t="shared" ca="1" si="25"/>
        <v>1. &lt;1yr</v>
      </c>
      <c r="H562">
        <f t="shared" si="26"/>
        <v>0</v>
      </c>
    </row>
    <row r="563" spans="1:8" x14ac:dyDescent="0.3">
      <c r="A563">
        <v>1699</v>
      </c>
      <c r="B563" t="s">
        <v>11</v>
      </c>
      <c r="C563" s="1">
        <v>45699</v>
      </c>
      <c r="D563" t="s">
        <v>6</v>
      </c>
      <c r="E563" s="1">
        <v>46007</v>
      </c>
      <c r="F563">
        <f t="shared" ca="1" si="24"/>
        <v>10</v>
      </c>
      <c r="G563" t="str">
        <f t="shared" ca="1" si="25"/>
        <v>1. &lt;1yr</v>
      </c>
      <c r="H563">
        <f t="shared" si="26"/>
        <v>1</v>
      </c>
    </row>
    <row r="564" spans="1:8" x14ac:dyDescent="0.3">
      <c r="A564">
        <v>1708</v>
      </c>
      <c r="B564" t="s">
        <v>11</v>
      </c>
      <c r="C564" s="1">
        <v>46113</v>
      </c>
      <c r="D564" t="s">
        <v>7</v>
      </c>
      <c r="E564" t="s">
        <v>8</v>
      </c>
      <c r="F564">
        <f t="shared" ca="1" si="24"/>
        <v>4</v>
      </c>
      <c r="G564" t="str">
        <f t="shared" ca="1" si="25"/>
        <v>1. &lt;1yr</v>
      </c>
      <c r="H564">
        <f t="shared" si="26"/>
        <v>0</v>
      </c>
    </row>
    <row r="565" spans="1:8" x14ac:dyDescent="0.3">
      <c r="A565">
        <v>1710</v>
      </c>
      <c r="B565" t="s">
        <v>11</v>
      </c>
      <c r="C565" s="1">
        <v>45701</v>
      </c>
      <c r="D565" t="s">
        <v>7</v>
      </c>
      <c r="E565" t="s">
        <v>8</v>
      </c>
      <c r="F565">
        <f t="shared" ca="1" si="24"/>
        <v>18</v>
      </c>
      <c r="G565" t="str">
        <f t="shared" ca="1" si="25"/>
        <v>2. 1-3yr</v>
      </c>
      <c r="H565">
        <f t="shared" si="26"/>
        <v>0</v>
      </c>
    </row>
    <row r="566" spans="1:8" x14ac:dyDescent="0.3">
      <c r="A566">
        <v>1713</v>
      </c>
      <c r="B566" t="s">
        <v>11</v>
      </c>
      <c r="C566" s="1">
        <v>45888</v>
      </c>
      <c r="D566" t="s">
        <v>7</v>
      </c>
      <c r="E566" t="s">
        <v>8</v>
      </c>
      <c r="F566">
        <f t="shared" ca="1" si="24"/>
        <v>11</v>
      </c>
      <c r="G566" t="str">
        <f t="shared" ca="1" si="25"/>
        <v>1. &lt;1yr</v>
      </c>
      <c r="H566">
        <f t="shared" si="26"/>
        <v>0</v>
      </c>
    </row>
    <row r="567" spans="1:8" x14ac:dyDescent="0.3">
      <c r="A567">
        <v>1719</v>
      </c>
      <c r="B567" t="s">
        <v>11</v>
      </c>
      <c r="C567" s="1">
        <v>45473</v>
      </c>
      <c r="D567" t="s">
        <v>7</v>
      </c>
      <c r="E567" t="s">
        <v>8</v>
      </c>
      <c r="F567">
        <f t="shared" ca="1" si="24"/>
        <v>25</v>
      </c>
      <c r="G567" t="str">
        <f t="shared" ca="1" si="25"/>
        <v>2. 1-3yr</v>
      </c>
      <c r="H567">
        <f t="shared" si="26"/>
        <v>0</v>
      </c>
    </row>
    <row r="568" spans="1:8" x14ac:dyDescent="0.3">
      <c r="A568">
        <v>1725</v>
      </c>
      <c r="B568" t="s">
        <v>11</v>
      </c>
      <c r="C568" s="1">
        <v>45032</v>
      </c>
      <c r="D568" t="s">
        <v>7</v>
      </c>
      <c r="E568" t="s">
        <v>8</v>
      </c>
      <c r="F568">
        <f t="shared" ca="1" si="24"/>
        <v>40</v>
      </c>
      <c r="G568" t="str">
        <f t="shared" ca="1" si="25"/>
        <v>3. 3-5yr</v>
      </c>
      <c r="H568">
        <f t="shared" si="26"/>
        <v>0</v>
      </c>
    </row>
    <row r="569" spans="1:8" x14ac:dyDescent="0.3">
      <c r="A569">
        <v>1727</v>
      </c>
      <c r="B569" t="s">
        <v>11</v>
      </c>
      <c r="C569" s="1">
        <v>45409</v>
      </c>
      <c r="D569" t="s">
        <v>7</v>
      </c>
      <c r="E569" t="s">
        <v>8</v>
      </c>
      <c r="F569">
        <f t="shared" ca="1" si="24"/>
        <v>27</v>
      </c>
      <c r="G569" t="str">
        <f t="shared" ca="1" si="25"/>
        <v>2. 1-3yr</v>
      </c>
      <c r="H569">
        <f t="shared" si="26"/>
        <v>0</v>
      </c>
    </row>
    <row r="570" spans="1:8" x14ac:dyDescent="0.3">
      <c r="A570">
        <v>1728</v>
      </c>
      <c r="B570" t="s">
        <v>11</v>
      </c>
      <c r="C570" s="1">
        <v>46006</v>
      </c>
      <c r="D570" t="s">
        <v>7</v>
      </c>
      <c r="E570" t="s">
        <v>8</v>
      </c>
      <c r="F570">
        <f t="shared" ca="1" si="24"/>
        <v>8</v>
      </c>
      <c r="G570" t="str">
        <f t="shared" ca="1" si="25"/>
        <v>1. &lt;1yr</v>
      </c>
      <c r="H570">
        <f t="shared" si="26"/>
        <v>0</v>
      </c>
    </row>
    <row r="571" spans="1:8" x14ac:dyDescent="0.3">
      <c r="A571">
        <v>1731</v>
      </c>
      <c r="B571" t="s">
        <v>11</v>
      </c>
      <c r="C571" s="1">
        <v>44661</v>
      </c>
      <c r="D571" t="s">
        <v>7</v>
      </c>
      <c r="E571" t="s">
        <v>8</v>
      </c>
      <c r="F571">
        <f t="shared" ca="1" si="24"/>
        <v>52</v>
      </c>
      <c r="G571" t="str">
        <f t="shared" ca="1" si="25"/>
        <v>3. 3-5yr</v>
      </c>
      <c r="H571">
        <f t="shared" si="26"/>
        <v>0</v>
      </c>
    </row>
    <row r="572" spans="1:8" x14ac:dyDescent="0.3">
      <c r="A572">
        <v>1742</v>
      </c>
      <c r="B572" t="s">
        <v>11</v>
      </c>
      <c r="C572" s="1">
        <v>45351</v>
      </c>
      <c r="D572" t="s">
        <v>7</v>
      </c>
      <c r="E572" t="s">
        <v>8</v>
      </c>
      <c r="F572">
        <f t="shared" ca="1" si="24"/>
        <v>29</v>
      </c>
      <c r="G572" t="str">
        <f t="shared" ca="1" si="25"/>
        <v>2. 1-3yr</v>
      </c>
      <c r="H572">
        <f t="shared" si="26"/>
        <v>0</v>
      </c>
    </row>
    <row r="573" spans="1:8" x14ac:dyDescent="0.3">
      <c r="A573">
        <v>1747</v>
      </c>
      <c r="B573" t="s">
        <v>11</v>
      </c>
      <c r="C573" s="1">
        <v>45239</v>
      </c>
      <c r="D573" t="s">
        <v>7</v>
      </c>
      <c r="E573" t="s">
        <v>8</v>
      </c>
      <c r="F573">
        <f t="shared" ca="1" si="24"/>
        <v>33</v>
      </c>
      <c r="G573" t="str">
        <f t="shared" ca="1" si="25"/>
        <v>2. 1-3yr</v>
      </c>
      <c r="H573">
        <f t="shared" si="26"/>
        <v>0</v>
      </c>
    </row>
    <row r="574" spans="1:8" x14ac:dyDescent="0.3">
      <c r="A574">
        <v>1749</v>
      </c>
      <c r="B574" t="s">
        <v>11</v>
      </c>
      <c r="C574" s="1">
        <v>45901</v>
      </c>
      <c r="D574" t="s">
        <v>7</v>
      </c>
      <c r="E574" t="s">
        <v>8</v>
      </c>
      <c r="F574">
        <f t="shared" ca="1" si="24"/>
        <v>11</v>
      </c>
      <c r="G574" t="str">
        <f t="shared" ca="1" si="25"/>
        <v>1. &lt;1yr</v>
      </c>
      <c r="H574">
        <f t="shared" si="26"/>
        <v>0</v>
      </c>
    </row>
    <row r="575" spans="1:8" x14ac:dyDescent="0.3">
      <c r="A575">
        <v>1767</v>
      </c>
      <c r="B575" t="s">
        <v>11</v>
      </c>
      <c r="C575" s="1">
        <v>45732</v>
      </c>
      <c r="D575" t="s">
        <v>7</v>
      </c>
      <c r="E575" t="s">
        <v>8</v>
      </c>
      <c r="F575">
        <f t="shared" ca="1" si="24"/>
        <v>17</v>
      </c>
      <c r="G575" t="str">
        <f t="shared" ca="1" si="25"/>
        <v>2. 1-3yr</v>
      </c>
      <c r="H575">
        <f t="shared" si="26"/>
        <v>0</v>
      </c>
    </row>
    <row r="576" spans="1:8" x14ac:dyDescent="0.3">
      <c r="A576">
        <v>1778</v>
      </c>
      <c r="B576" t="s">
        <v>11</v>
      </c>
      <c r="C576" s="1">
        <v>44900</v>
      </c>
      <c r="D576" t="s">
        <v>6</v>
      </c>
      <c r="E576" s="1">
        <v>45515</v>
      </c>
      <c r="F576">
        <f t="shared" ca="1" si="24"/>
        <v>20</v>
      </c>
      <c r="G576" t="str">
        <f t="shared" ca="1" si="25"/>
        <v>2. 1-3yr</v>
      </c>
      <c r="H576">
        <f t="shared" si="26"/>
        <v>1</v>
      </c>
    </row>
    <row r="577" spans="1:8" x14ac:dyDescent="0.3">
      <c r="A577">
        <v>1786</v>
      </c>
      <c r="B577" t="s">
        <v>11</v>
      </c>
      <c r="C577" s="1">
        <v>45786</v>
      </c>
      <c r="D577" t="s">
        <v>7</v>
      </c>
      <c r="E577" t="s">
        <v>8</v>
      </c>
      <c r="F577">
        <f t="shared" ca="1" si="24"/>
        <v>15</v>
      </c>
      <c r="G577" t="str">
        <f t="shared" ca="1" si="25"/>
        <v>2. 1-3yr</v>
      </c>
      <c r="H577">
        <f t="shared" si="26"/>
        <v>0</v>
      </c>
    </row>
    <row r="578" spans="1:8" x14ac:dyDescent="0.3">
      <c r="A578">
        <v>1790</v>
      </c>
      <c r="B578" t="s">
        <v>11</v>
      </c>
      <c r="C578" s="1">
        <v>46173</v>
      </c>
      <c r="D578" t="s">
        <v>6</v>
      </c>
      <c r="E578" s="1">
        <v>46203</v>
      </c>
      <c r="F578">
        <f t="shared" ca="1" si="24"/>
        <v>0</v>
      </c>
      <c r="G578" t="str">
        <f t="shared" ca="1" si="25"/>
        <v>1. &lt;1yr</v>
      </c>
      <c r="H578">
        <f t="shared" si="26"/>
        <v>1</v>
      </c>
    </row>
    <row r="579" spans="1:8" x14ac:dyDescent="0.3">
      <c r="A579">
        <v>1810</v>
      </c>
      <c r="B579" t="s">
        <v>11</v>
      </c>
      <c r="C579" s="1">
        <v>45674</v>
      </c>
      <c r="D579" t="s">
        <v>7</v>
      </c>
      <c r="E579" t="s">
        <v>8</v>
      </c>
      <c r="F579">
        <f t="shared" ref="F579:F642" ca="1" si="27">DATEDIF(C579, IF(OR(E579="",E579="NULL"), TODAY(), E579), "m")</f>
        <v>19</v>
      </c>
      <c r="G579" t="str">
        <f t="shared" ref="G579:G642" ca="1" si="28">IF(F579&lt;12,"1. &lt;1yr",IF(F579&lt;36,"2. 1-3yr",IF(F579&lt;60,"3. 3-5yr","4. 5+yr")))</f>
        <v>2. 1-3yr</v>
      </c>
      <c r="H579">
        <f t="shared" ref="H579:H642" si="29">IF(D579="Yes",1,0)</f>
        <v>0</v>
      </c>
    </row>
    <row r="580" spans="1:8" x14ac:dyDescent="0.3">
      <c r="A580">
        <v>1816</v>
      </c>
      <c r="B580" t="s">
        <v>11</v>
      </c>
      <c r="C580" s="1">
        <v>45095</v>
      </c>
      <c r="D580" t="s">
        <v>7</v>
      </c>
      <c r="E580" t="s">
        <v>8</v>
      </c>
      <c r="F580">
        <f t="shared" ca="1" si="27"/>
        <v>38</v>
      </c>
      <c r="G580" t="str">
        <f t="shared" ca="1" si="28"/>
        <v>3. 3-5yr</v>
      </c>
      <c r="H580">
        <f t="shared" si="29"/>
        <v>0</v>
      </c>
    </row>
    <row r="581" spans="1:8" x14ac:dyDescent="0.3">
      <c r="A581">
        <v>1818</v>
      </c>
      <c r="B581" t="s">
        <v>11</v>
      </c>
      <c r="C581" s="1">
        <v>45189</v>
      </c>
      <c r="D581" t="s">
        <v>7</v>
      </c>
      <c r="E581" t="s">
        <v>8</v>
      </c>
      <c r="F581">
        <f t="shared" ca="1" si="27"/>
        <v>34</v>
      </c>
      <c r="G581" t="str">
        <f t="shared" ca="1" si="28"/>
        <v>2. 1-3yr</v>
      </c>
      <c r="H581">
        <f t="shared" si="29"/>
        <v>0</v>
      </c>
    </row>
    <row r="582" spans="1:8" x14ac:dyDescent="0.3">
      <c r="A582">
        <v>1821</v>
      </c>
      <c r="B582" t="s">
        <v>11</v>
      </c>
      <c r="C582" s="1">
        <v>44296</v>
      </c>
      <c r="D582" t="s">
        <v>7</v>
      </c>
      <c r="E582" t="s">
        <v>8</v>
      </c>
      <c r="F582">
        <f t="shared" ca="1" si="27"/>
        <v>64</v>
      </c>
      <c r="G582" t="str">
        <f t="shared" ca="1" si="28"/>
        <v>4. 5+yr</v>
      </c>
      <c r="H582">
        <f t="shared" si="29"/>
        <v>0</v>
      </c>
    </row>
    <row r="583" spans="1:8" x14ac:dyDescent="0.3">
      <c r="A583">
        <v>1822</v>
      </c>
      <c r="B583" t="s">
        <v>11</v>
      </c>
      <c r="C583" s="1">
        <v>44564</v>
      </c>
      <c r="D583" t="s">
        <v>7</v>
      </c>
      <c r="E583" t="s">
        <v>8</v>
      </c>
      <c r="F583">
        <f t="shared" ca="1" si="27"/>
        <v>55</v>
      </c>
      <c r="G583" t="str">
        <f t="shared" ca="1" si="28"/>
        <v>3. 3-5yr</v>
      </c>
      <c r="H583">
        <f t="shared" si="29"/>
        <v>0</v>
      </c>
    </row>
    <row r="584" spans="1:8" x14ac:dyDescent="0.3">
      <c r="A584">
        <v>1830</v>
      </c>
      <c r="B584" t="s">
        <v>11</v>
      </c>
      <c r="C584" s="1">
        <v>45177</v>
      </c>
      <c r="D584" t="s">
        <v>7</v>
      </c>
      <c r="E584" t="s">
        <v>8</v>
      </c>
      <c r="F584">
        <f t="shared" ca="1" si="27"/>
        <v>35</v>
      </c>
      <c r="G584" t="str">
        <f t="shared" ca="1" si="28"/>
        <v>2. 1-3yr</v>
      </c>
      <c r="H584">
        <f t="shared" si="29"/>
        <v>0</v>
      </c>
    </row>
    <row r="585" spans="1:8" x14ac:dyDescent="0.3">
      <c r="A585">
        <v>1839</v>
      </c>
      <c r="B585" t="s">
        <v>11</v>
      </c>
      <c r="C585" s="1">
        <v>45564</v>
      </c>
      <c r="D585" t="s">
        <v>7</v>
      </c>
      <c r="E585" t="s">
        <v>8</v>
      </c>
      <c r="F585">
        <f t="shared" ca="1" si="27"/>
        <v>22</v>
      </c>
      <c r="G585" t="str">
        <f t="shared" ca="1" si="28"/>
        <v>2. 1-3yr</v>
      </c>
      <c r="H585">
        <f t="shared" si="29"/>
        <v>0</v>
      </c>
    </row>
    <row r="586" spans="1:8" x14ac:dyDescent="0.3">
      <c r="A586">
        <v>1845</v>
      </c>
      <c r="B586" t="s">
        <v>11</v>
      </c>
      <c r="C586" s="1">
        <v>46121</v>
      </c>
      <c r="D586" t="s">
        <v>6</v>
      </c>
      <c r="E586" s="1">
        <v>46151</v>
      </c>
      <c r="F586">
        <f t="shared" ca="1" si="27"/>
        <v>1</v>
      </c>
      <c r="G586" t="str">
        <f t="shared" ca="1" si="28"/>
        <v>1. &lt;1yr</v>
      </c>
      <c r="H586">
        <f t="shared" si="29"/>
        <v>1</v>
      </c>
    </row>
    <row r="587" spans="1:8" x14ac:dyDescent="0.3">
      <c r="A587">
        <v>1852</v>
      </c>
      <c r="B587" t="s">
        <v>11</v>
      </c>
      <c r="C587" s="1">
        <v>45954</v>
      </c>
      <c r="D587" t="s">
        <v>7</v>
      </c>
      <c r="E587" t="s">
        <v>8</v>
      </c>
      <c r="F587">
        <f t="shared" ca="1" si="27"/>
        <v>9</v>
      </c>
      <c r="G587" t="str">
        <f t="shared" ca="1" si="28"/>
        <v>1. &lt;1yr</v>
      </c>
      <c r="H587">
        <f t="shared" si="29"/>
        <v>0</v>
      </c>
    </row>
    <row r="588" spans="1:8" x14ac:dyDescent="0.3">
      <c r="A588">
        <v>1855</v>
      </c>
      <c r="B588" t="s">
        <v>11</v>
      </c>
      <c r="C588" s="1">
        <v>45382</v>
      </c>
      <c r="D588" t="s">
        <v>7</v>
      </c>
      <c r="E588" t="s">
        <v>8</v>
      </c>
      <c r="F588">
        <f t="shared" ca="1" si="27"/>
        <v>28</v>
      </c>
      <c r="G588" t="str">
        <f t="shared" ca="1" si="28"/>
        <v>2. 1-3yr</v>
      </c>
      <c r="H588">
        <f t="shared" si="29"/>
        <v>0</v>
      </c>
    </row>
    <row r="589" spans="1:8" x14ac:dyDescent="0.3">
      <c r="A589">
        <v>1857</v>
      </c>
      <c r="B589" t="s">
        <v>11</v>
      </c>
      <c r="C589" s="1">
        <v>45751</v>
      </c>
      <c r="D589" t="s">
        <v>7</v>
      </c>
      <c r="E589" t="s">
        <v>8</v>
      </c>
      <c r="F589">
        <f t="shared" ca="1" si="27"/>
        <v>16</v>
      </c>
      <c r="G589" t="str">
        <f t="shared" ca="1" si="28"/>
        <v>2. 1-3yr</v>
      </c>
      <c r="H589">
        <f t="shared" si="29"/>
        <v>0</v>
      </c>
    </row>
    <row r="590" spans="1:8" x14ac:dyDescent="0.3">
      <c r="A590">
        <v>1003</v>
      </c>
      <c r="B590" t="s">
        <v>12</v>
      </c>
      <c r="C590" s="1">
        <v>45499</v>
      </c>
      <c r="D590" t="s">
        <v>7</v>
      </c>
      <c r="E590" t="s">
        <v>8</v>
      </c>
      <c r="F590">
        <f t="shared" ca="1" si="27"/>
        <v>24</v>
      </c>
      <c r="G590" t="str">
        <f t="shared" ca="1" si="28"/>
        <v>2. 1-3yr</v>
      </c>
      <c r="H590">
        <f t="shared" si="29"/>
        <v>0</v>
      </c>
    </row>
    <row r="591" spans="1:8" x14ac:dyDescent="0.3">
      <c r="A591">
        <v>1025</v>
      </c>
      <c r="B591" t="s">
        <v>12</v>
      </c>
      <c r="C591" s="1">
        <v>44511</v>
      </c>
      <c r="D591" t="s">
        <v>7</v>
      </c>
      <c r="E591" t="s">
        <v>8</v>
      </c>
      <c r="F591">
        <f t="shared" ca="1" si="27"/>
        <v>57</v>
      </c>
      <c r="G591" t="str">
        <f t="shared" ca="1" si="28"/>
        <v>3. 3-5yr</v>
      </c>
      <c r="H591">
        <f t="shared" si="29"/>
        <v>0</v>
      </c>
    </row>
    <row r="592" spans="1:8" x14ac:dyDescent="0.3">
      <c r="A592">
        <v>1026</v>
      </c>
      <c r="B592" t="s">
        <v>12</v>
      </c>
      <c r="C592" s="1">
        <v>46119</v>
      </c>
      <c r="D592" t="s">
        <v>7</v>
      </c>
      <c r="E592" t="s">
        <v>8</v>
      </c>
      <c r="F592">
        <f t="shared" ca="1" si="27"/>
        <v>4</v>
      </c>
      <c r="G592" t="str">
        <f t="shared" ca="1" si="28"/>
        <v>1. &lt;1yr</v>
      </c>
      <c r="H592">
        <f t="shared" si="29"/>
        <v>0</v>
      </c>
    </row>
    <row r="593" spans="1:8" x14ac:dyDescent="0.3">
      <c r="A593">
        <v>1035</v>
      </c>
      <c r="B593" t="s">
        <v>12</v>
      </c>
      <c r="C593" s="1">
        <v>44893</v>
      </c>
      <c r="D593" t="s">
        <v>7</v>
      </c>
      <c r="E593" t="s">
        <v>8</v>
      </c>
      <c r="F593">
        <f t="shared" ca="1" si="27"/>
        <v>44</v>
      </c>
      <c r="G593" t="str">
        <f t="shared" ca="1" si="28"/>
        <v>3. 3-5yr</v>
      </c>
      <c r="H593">
        <f t="shared" si="29"/>
        <v>0</v>
      </c>
    </row>
    <row r="594" spans="1:8" x14ac:dyDescent="0.3">
      <c r="A594">
        <v>1046</v>
      </c>
      <c r="B594" t="s">
        <v>12</v>
      </c>
      <c r="C594" s="1">
        <v>45490</v>
      </c>
      <c r="D594" t="s">
        <v>7</v>
      </c>
      <c r="E594" t="s">
        <v>8</v>
      </c>
      <c r="F594">
        <f t="shared" ca="1" si="27"/>
        <v>25</v>
      </c>
      <c r="G594" t="str">
        <f t="shared" ca="1" si="28"/>
        <v>2. 1-3yr</v>
      </c>
      <c r="H594">
        <f t="shared" si="29"/>
        <v>0</v>
      </c>
    </row>
    <row r="595" spans="1:8" x14ac:dyDescent="0.3">
      <c r="A595">
        <v>1048</v>
      </c>
      <c r="B595" t="s">
        <v>12</v>
      </c>
      <c r="C595" s="1">
        <v>44330</v>
      </c>
      <c r="D595" t="s">
        <v>7</v>
      </c>
      <c r="E595" t="s">
        <v>8</v>
      </c>
      <c r="F595">
        <f t="shared" ca="1" si="27"/>
        <v>63</v>
      </c>
      <c r="G595" t="str">
        <f t="shared" ca="1" si="28"/>
        <v>4. 5+yr</v>
      </c>
      <c r="H595">
        <f t="shared" si="29"/>
        <v>0</v>
      </c>
    </row>
    <row r="596" spans="1:8" x14ac:dyDescent="0.3">
      <c r="A596">
        <v>1051</v>
      </c>
      <c r="B596" t="s">
        <v>12</v>
      </c>
      <c r="C596" s="1">
        <v>45478</v>
      </c>
      <c r="D596" t="s">
        <v>7</v>
      </c>
      <c r="E596" t="s">
        <v>8</v>
      </c>
      <c r="F596">
        <f t="shared" ca="1" si="27"/>
        <v>25</v>
      </c>
      <c r="G596" t="str">
        <f t="shared" ca="1" si="28"/>
        <v>2. 1-3yr</v>
      </c>
      <c r="H596">
        <f t="shared" si="29"/>
        <v>0</v>
      </c>
    </row>
    <row r="597" spans="1:8" x14ac:dyDescent="0.3">
      <c r="A597">
        <v>1063</v>
      </c>
      <c r="B597" t="s">
        <v>12</v>
      </c>
      <c r="C597" s="1">
        <v>46121</v>
      </c>
      <c r="D597" t="s">
        <v>7</v>
      </c>
      <c r="E597" t="s">
        <v>8</v>
      </c>
      <c r="F597">
        <f t="shared" ca="1" si="27"/>
        <v>4</v>
      </c>
      <c r="G597" t="str">
        <f t="shared" ca="1" si="28"/>
        <v>1. &lt;1yr</v>
      </c>
      <c r="H597">
        <f t="shared" si="29"/>
        <v>0</v>
      </c>
    </row>
    <row r="598" spans="1:8" x14ac:dyDescent="0.3">
      <c r="A598">
        <v>1067</v>
      </c>
      <c r="B598" t="s">
        <v>12</v>
      </c>
      <c r="C598" s="1">
        <v>45818</v>
      </c>
      <c r="D598" t="s">
        <v>7</v>
      </c>
      <c r="E598" t="s">
        <v>8</v>
      </c>
      <c r="F598">
        <f t="shared" ca="1" si="27"/>
        <v>14</v>
      </c>
      <c r="G598" t="str">
        <f t="shared" ca="1" si="28"/>
        <v>2. 1-3yr</v>
      </c>
      <c r="H598">
        <f t="shared" si="29"/>
        <v>0</v>
      </c>
    </row>
    <row r="599" spans="1:8" x14ac:dyDescent="0.3">
      <c r="A599">
        <v>1071</v>
      </c>
      <c r="B599" t="s">
        <v>12</v>
      </c>
      <c r="C599" s="1">
        <v>44532</v>
      </c>
      <c r="D599" t="s">
        <v>7</v>
      </c>
      <c r="E599" t="s">
        <v>8</v>
      </c>
      <c r="F599">
        <f t="shared" ca="1" si="27"/>
        <v>56</v>
      </c>
      <c r="G599" t="str">
        <f t="shared" ca="1" si="28"/>
        <v>3. 3-5yr</v>
      </c>
      <c r="H599">
        <f t="shared" si="29"/>
        <v>0</v>
      </c>
    </row>
    <row r="600" spans="1:8" x14ac:dyDescent="0.3">
      <c r="A600">
        <v>1073</v>
      </c>
      <c r="B600" t="s">
        <v>12</v>
      </c>
      <c r="C600" s="1">
        <v>45869</v>
      </c>
      <c r="D600" t="s">
        <v>7</v>
      </c>
      <c r="E600" t="s">
        <v>8</v>
      </c>
      <c r="F600">
        <f t="shared" ca="1" si="27"/>
        <v>12</v>
      </c>
      <c r="G600" t="str">
        <f t="shared" ca="1" si="28"/>
        <v>2. 1-3yr</v>
      </c>
      <c r="H600">
        <f t="shared" si="29"/>
        <v>0</v>
      </c>
    </row>
    <row r="601" spans="1:8" x14ac:dyDescent="0.3">
      <c r="A601">
        <v>1077</v>
      </c>
      <c r="B601" t="s">
        <v>12</v>
      </c>
      <c r="C601" s="1">
        <v>45710</v>
      </c>
      <c r="D601" t="s">
        <v>7</v>
      </c>
      <c r="E601" t="s">
        <v>8</v>
      </c>
      <c r="F601">
        <f t="shared" ca="1" si="27"/>
        <v>17</v>
      </c>
      <c r="G601" t="str">
        <f t="shared" ca="1" si="28"/>
        <v>2. 1-3yr</v>
      </c>
      <c r="H601">
        <f t="shared" si="29"/>
        <v>0</v>
      </c>
    </row>
    <row r="602" spans="1:8" x14ac:dyDescent="0.3">
      <c r="A602">
        <v>1088</v>
      </c>
      <c r="B602" t="s">
        <v>12</v>
      </c>
      <c r="C602" s="1">
        <v>46072</v>
      </c>
      <c r="D602" t="s">
        <v>7</v>
      </c>
      <c r="E602" t="s">
        <v>8</v>
      </c>
      <c r="F602">
        <f t="shared" ca="1" si="27"/>
        <v>5</v>
      </c>
      <c r="G602" t="str">
        <f t="shared" ca="1" si="28"/>
        <v>1. &lt;1yr</v>
      </c>
      <c r="H602">
        <f t="shared" si="29"/>
        <v>0</v>
      </c>
    </row>
    <row r="603" spans="1:8" x14ac:dyDescent="0.3">
      <c r="A603">
        <v>1092</v>
      </c>
      <c r="B603" t="s">
        <v>12</v>
      </c>
      <c r="C603" s="1">
        <v>46194</v>
      </c>
      <c r="D603" t="s">
        <v>6</v>
      </c>
      <c r="E603" s="1">
        <v>46224</v>
      </c>
      <c r="F603">
        <f t="shared" ca="1" si="27"/>
        <v>1</v>
      </c>
      <c r="G603" t="str">
        <f t="shared" ca="1" si="28"/>
        <v>1. &lt;1yr</v>
      </c>
      <c r="H603">
        <f t="shared" si="29"/>
        <v>1</v>
      </c>
    </row>
    <row r="604" spans="1:8" x14ac:dyDescent="0.3">
      <c r="A604">
        <v>1103</v>
      </c>
      <c r="B604" t="s">
        <v>12</v>
      </c>
      <c r="C604" s="1">
        <v>45178</v>
      </c>
      <c r="D604" t="s">
        <v>6</v>
      </c>
      <c r="E604" s="1">
        <v>45652</v>
      </c>
      <c r="F604">
        <f t="shared" ca="1" si="27"/>
        <v>15</v>
      </c>
      <c r="G604" t="str">
        <f t="shared" ca="1" si="28"/>
        <v>2. 1-3yr</v>
      </c>
      <c r="H604">
        <f t="shared" si="29"/>
        <v>1</v>
      </c>
    </row>
    <row r="605" spans="1:8" x14ac:dyDescent="0.3">
      <c r="A605">
        <v>1115</v>
      </c>
      <c r="B605" t="s">
        <v>12</v>
      </c>
      <c r="C605" s="1">
        <v>45443</v>
      </c>
      <c r="D605" t="s">
        <v>7</v>
      </c>
      <c r="E605" t="s">
        <v>8</v>
      </c>
      <c r="F605">
        <f t="shared" ca="1" si="27"/>
        <v>26</v>
      </c>
      <c r="G605" t="str">
        <f t="shared" ca="1" si="28"/>
        <v>2. 1-3yr</v>
      </c>
      <c r="H605">
        <f t="shared" si="29"/>
        <v>0</v>
      </c>
    </row>
    <row r="606" spans="1:8" x14ac:dyDescent="0.3">
      <c r="A606">
        <v>1132</v>
      </c>
      <c r="B606" t="s">
        <v>12</v>
      </c>
      <c r="C606" s="1">
        <v>46043</v>
      </c>
      <c r="D606" t="s">
        <v>7</v>
      </c>
      <c r="E606" t="s">
        <v>8</v>
      </c>
      <c r="F606">
        <f t="shared" ca="1" si="27"/>
        <v>6</v>
      </c>
      <c r="G606" t="str">
        <f t="shared" ca="1" si="28"/>
        <v>1. &lt;1yr</v>
      </c>
      <c r="H606">
        <f t="shared" si="29"/>
        <v>0</v>
      </c>
    </row>
    <row r="607" spans="1:8" x14ac:dyDescent="0.3">
      <c r="A607">
        <v>1150</v>
      </c>
      <c r="B607" t="s">
        <v>12</v>
      </c>
      <c r="C607" s="1">
        <v>45193</v>
      </c>
      <c r="D607" t="s">
        <v>7</v>
      </c>
      <c r="E607" t="s">
        <v>8</v>
      </c>
      <c r="F607">
        <f t="shared" ca="1" si="27"/>
        <v>34</v>
      </c>
      <c r="G607" t="str">
        <f t="shared" ca="1" si="28"/>
        <v>2. 1-3yr</v>
      </c>
      <c r="H607">
        <f t="shared" si="29"/>
        <v>0</v>
      </c>
    </row>
    <row r="608" spans="1:8" x14ac:dyDescent="0.3">
      <c r="A608">
        <v>1151</v>
      </c>
      <c r="B608" t="s">
        <v>12</v>
      </c>
      <c r="C608" s="1">
        <v>45976</v>
      </c>
      <c r="D608" t="s">
        <v>6</v>
      </c>
      <c r="E608" s="1">
        <v>46006</v>
      </c>
      <c r="F608">
        <f t="shared" ca="1" si="27"/>
        <v>1</v>
      </c>
      <c r="G608" t="str">
        <f t="shared" ca="1" si="28"/>
        <v>1. &lt;1yr</v>
      </c>
      <c r="H608">
        <f t="shared" si="29"/>
        <v>1</v>
      </c>
    </row>
    <row r="609" spans="1:8" x14ac:dyDescent="0.3">
      <c r="A609">
        <v>1156</v>
      </c>
      <c r="B609" t="s">
        <v>12</v>
      </c>
      <c r="C609" s="1">
        <v>45353</v>
      </c>
      <c r="D609" t="s">
        <v>7</v>
      </c>
      <c r="E609" t="s">
        <v>8</v>
      </c>
      <c r="F609">
        <f t="shared" ca="1" si="27"/>
        <v>29</v>
      </c>
      <c r="G609" t="str">
        <f t="shared" ca="1" si="28"/>
        <v>2. 1-3yr</v>
      </c>
      <c r="H609">
        <f t="shared" si="29"/>
        <v>0</v>
      </c>
    </row>
    <row r="610" spans="1:8" x14ac:dyDescent="0.3">
      <c r="A610">
        <v>1182</v>
      </c>
      <c r="B610" t="s">
        <v>12</v>
      </c>
      <c r="C610" s="1">
        <v>45016</v>
      </c>
      <c r="D610" t="s">
        <v>7</v>
      </c>
      <c r="E610" t="s">
        <v>8</v>
      </c>
      <c r="F610">
        <f t="shared" ca="1" si="27"/>
        <v>40</v>
      </c>
      <c r="G610" t="str">
        <f t="shared" ca="1" si="28"/>
        <v>3. 3-5yr</v>
      </c>
      <c r="H610">
        <f t="shared" si="29"/>
        <v>0</v>
      </c>
    </row>
    <row r="611" spans="1:8" x14ac:dyDescent="0.3">
      <c r="A611">
        <v>1226</v>
      </c>
      <c r="B611" t="s">
        <v>12</v>
      </c>
      <c r="C611" s="1">
        <v>45645</v>
      </c>
      <c r="D611" t="s">
        <v>6</v>
      </c>
      <c r="E611" s="1">
        <v>45834</v>
      </c>
      <c r="F611">
        <f t="shared" ca="1" si="27"/>
        <v>6</v>
      </c>
      <c r="G611" t="str">
        <f t="shared" ca="1" si="28"/>
        <v>1. &lt;1yr</v>
      </c>
      <c r="H611">
        <f t="shared" si="29"/>
        <v>1</v>
      </c>
    </row>
    <row r="612" spans="1:8" x14ac:dyDescent="0.3">
      <c r="A612">
        <v>1234</v>
      </c>
      <c r="B612" t="s">
        <v>12</v>
      </c>
      <c r="C612" s="1">
        <v>44821</v>
      </c>
      <c r="D612" t="s">
        <v>7</v>
      </c>
      <c r="E612" t="s">
        <v>8</v>
      </c>
      <c r="F612">
        <f t="shared" ca="1" si="27"/>
        <v>47</v>
      </c>
      <c r="G612" t="str">
        <f t="shared" ca="1" si="28"/>
        <v>3. 3-5yr</v>
      </c>
      <c r="H612">
        <f t="shared" si="29"/>
        <v>0</v>
      </c>
    </row>
    <row r="613" spans="1:8" x14ac:dyDescent="0.3">
      <c r="A613">
        <v>1243</v>
      </c>
      <c r="B613" t="s">
        <v>12</v>
      </c>
      <c r="C613" s="1">
        <v>45520</v>
      </c>
      <c r="D613" t="s">
        <v>7</v>
      </c>
      <c r="E613" t="s">
        <v>8</v>
      </c>
      <c r="F613">
        <f t="shared" ca="1" si="27"/>
        <v>24</v>
      </c>
      <c r="G613" t="str">
        <f t="shared" ca="1" si="28"/>
        <v>2. 1-3yr</v>
      </c>
      <c r="H613">
        <f t="shared" si="29"/>
        <v>0</v>
      </c>
    </row>
    <row r="614" spans="1:8" x14ac:dyDescent="0.3">
      <c r="A614">
        <v>1258</v>
      </c>
      <c r="B614" t="s">
        <v>12</v>
      </c>
      <c r="C614" s="1">
        <v>45796</v>
      </c>
      <c r="D614" t="s">
        <v>7</v>
      </c>
      <c r="E614" t="s">
        <v>8</v>
      </c>
      <c r="F614">
        <f t="shared" ca="1" si="27"/>
        <v>14</v>
      </c>
      <c r="G614" t="str">
        <f t="shared" ca="1" si="28"/>
        <v>2. 1-3yr</v>
      </c>
      <c r="H614">
        <f t="shared" si="29"/>
        <v>0</v>
      </c>
    </row>
    <row r="615" spans="1:8" x14ac:dyDescent="0.3">
      <c r="A615">
        <v>1276</v>
      </c>
      <c r="B615" t="s">
        <v>12</v>
      </c>
      <c r="C615" s="1">
        <v>45391</v>
      </c>
      <c r="D615" t="s">
        <v>6</v>
      </c>
      <c r="E615" s="1">
        <v>46110</v>
      </c>
      <c r="F615">
        <f t="shared" ca="1" si="27"/>
        <v>23</v>
      </c>
      <c r="G615" t="str">
        <f t="shared" ca="1" si="28"/>
        <v>2. 1-3yr</v>
      </c>
      <c r="H615">
        <f t="shared" si="29"/>
        <v>1</v>
      </c>
    </row>
    <row r="616" spans="1:8" x14ac:dyDescent="0.3">
      <c r="A616">
        <v>1288</v>
      </c>
      <c r="B616" t="s">
        <v>12</v>
      </c>
      <c r="C616" s="1">
        <v>44713</v>
      </c>
      <c r="D616" t="s">
        <v>7</v>
      </c>
      <c r="E616" t="s">
        <v>8</v>
      </c>
      <c r="F616">
        <f t="shared" ca="1" si="27"/>
        <v>50</v>
      </c>
      <c r="G616" t="str">
        <f t="shared" ca="1" si="28"/>
        <v>3. 3-5yr</v>
      </c>
      <c r="H616">
        <f t="shared" si="29"/>
        <v>0</v>
      </c>
    </row>
    <row r="617" spans="1:8" x14ac:dyDescent="0.3">
      <c r="A617">
        <v>1289</v>
      </c>
      <c r="B617" t="s">
        <v>12</v>
      </c>
      <c r="C617" s="1">
        <v>45835</v>
      </c>
      <c r="D617" t="s">
        <v>6</v>
      </c>
      <c r="E617" s="1">
        <v>46153</v>
      </c>
      <c r="F617">
        <f t="shared" ca="1" si="27"/>
        <v>10</v>
      </c>
      <c r="G617" t="str">
        <f t="shared" ca="1" si="28"/>
        <v>1. &lt;1yr</v>
      </c>
      <c r="H617">
        <f t="shared" si="29"/>
        <v>1</v>
      </c>
    </row>
    <row r="618" spans="1:8" x14ac:dyDescent="0.3">
      <c r="A618">
        <v>1331</v>
      </c>
      <c r="B618" t="s">
        <v>12</v>
      </c>
      <c r="C618" s="1">
        <v>45891</v>
      </c>
      <c r="D618" t="s">
        <v>6</v>
      </c>
      <c r="E618" s="1">
        <v>45921</v>
      </c>
      <c r="F618">
        <f t="shared" ca="1" si="27"/>
        <v>0</v>
      </c>
      <c r="G618" t="str">
        <f t="shared" ca="1" si="28"/>
        <v>1. &lt;1yr</v>
      </c>
      <c r="H618">
        <f t="shared" si="29"/>
        <v>1</v>
      </c>
    </row>
    <row r="619" spans="1:8" x14ac:dyDescent="0.3">
      <c r="A619">
        <v>1342</v>
      </c>
      <c r="B619" t="s">
        <v>12</v>
      </c>
      <c r="C619" s="1">
        <v>45904</v>
      </c>
      <c r="D619" t="s">
        <v>7</v>
      </c>
      <c r="E619" t="s">
        <v>8</v>
      </c>
      <c r="F619">
        <f t="shared" ca="1" si="27"/>
        <v>11</v>
      </c>
      <c r="G619" t="str">
        <f t="shared" ca="1" si="28"/>
        <v>1. &lt;1yr</v>
      </c>
      <c r="H619">
        <f t="shared" si="29"/>
        <v>0</v>
      </c>
    </row>
    <row r="620" spans="1:8" x14ac:dyDescent="0.3">
      <c r="A620">
        <v>1346</v>
      </c>
      <c r="B620" t="s">
        <v>12</v>
      </c>
      <c r="C620" s="1">
        <v>45649</v>
      </c>
      <c r="D620" t="s">
        <v>7</v>
      </c>
      <c r="E620" t="s">
        <v>8</v>
      </c>
      <c r="F620">
        <f t="shared" ca="1" si="27"/>
        <v>19</v>
      </c>
      <c r="G620" t="str">
        <f t="shared" ca="1" si="28"/>
        <v>2. 1-3yr</v>
      </c>
      <c r="H620">
        <f t="shared" si="29"/>
        <v>0</v>
      </c>
    </row>
    <row r="621" spans="1:8" x14ac:dyDescent="0.3">
      <c r="A621">
        <v>1359</v>
      </c>
      <c r="B621" t="s">
        <v>12</v>
      </c>
      <c r="C621" s="1">
        <v>46056</v>
      </c>
      <c r="D621" t="s">
        <v>7</v>
      </c>
      <c r="E621" t="s">
        <v>8</v>
      </c>
      <c r="F621">
        <f t="shared" ca="1" si="27"/>
        <v>6</v>
      </c>
      <c r="G621" t="str">
        <f t="shared" ca="1" si="28"/>
        <v>1. &lt;1yr</v>
      </c>
      <c r="H621">
        <f t="shared" si="29"/>
        <v>0</v>
      </c>
    </row>
    <row r="622" spans="1:8" x14ac:dyDescent="0.3">
      <c r="A622">
        <v>1361</v>
      </c>
      <c r="B622" t="s">
        <v>12</v>
      </c>
      <c r="C622" s="1">
        <v>45800</v>
      </c>
      <c r="D622" t="s">
        <v>6</v>
      </c>
      <c r="E622" s="1">
        <v>45969</v>
      </c>
      <c r="F622">
        <f t="shared" ca="1" si="27"/>
        <v>5</v>
      </c>
      <c r="G622" t="str">
        <f t="shared" ca="1" si="28"/>
        <v>1. &lt;1yr</v>
      </c>
      <c r="H622">
        <f t="shared" si="29"/>
        <v>1</v>
      </c>
    </row>
    <row r="623" spans="1:8" x14ac:dyDescent="0.3">
      <c r="A623">
        <v>1370</v>
      </c>
      <c r="B623" t="s">
        <v>12</v>
      </c>
      <c r="C623" s="1">
        <v>45049</v>
      </c>
      <c r="D623" t="s">
        <v>7</v>
      </c>
      <c r="E623" t="s">
        <v>8</v>
      </c>
      <c r="F623">
        <f t="shared" ca="1" si="27"/>
        <v>39</v>
      </c>
      <c r="G623" t="str">
        <f t="shared" ca="1" si="28"/>
        <v>3. 3-5yr</v>
      </c>
      <c r="H623">
        <f t="shared" si="29"/>
        <v>0</v>
      </c>
    </row>
    <row r="624" spans="1:8" x14ac:dyDescent="0.3">
      <c r="A624">
        <v>1371</v>
      </c>
      <c r="B624" t="s">
        <v>12</v>
      </c>
      <c r="C624" s="1">
        <v>44614</v>
      </c>
      <c r="D624" t="s">
        <v>7</v>
      </c>
      <c r="E624" t="s">
        <v>8</v>
      </c>
      <c r="F624">
        <f t="shared" ca="1" si="27"/>
        <v>53</v>
      </c>
      <c r="G624" t="str">
        <f t="shared" ca="1" si="28"/>
        <v>3. 3-5yr</v>
      </c>
      <c r="H624">
        <f t="shared" si="29"/>
        <v>0</v>
      </c>
    </row>
    <row r="625" spans="1:8" x14ac:dyDescent="0.3">
      <c r="A625">
        <v>1381</v>
      </c>
      <c r="B625" t="s">
        <v>12</v>
      </c>
      <c r="C625" s="1">
        <v>45534</v>
      </c>
      <c r="D625" t="s">
        <v>7</v>
      </c>
      <c r="E625" t="s">
        <v>8</v>
      </c>
      <c r="F625">
        <f t="shared" ca="1" si="27"/>
        <v>23</v>
      </c>
      <c r="G625" t="str">
        <f t="shared" ca="1" si="28"/>
        <v>2. 1-3yr</v>
      </c>
      <c r="H625">
        <f t="shared" si="29"/>
        <v>0</v>
      </c>
    </row>
    <row r="626" spans="1:8" x14ac:dyDescent="0.3">
      <c r="A626">
        <v>1401</v>
      </c>
      <c r="B626" t="s">
        <v>12</v>
      </c>
      <c r="C626" s="1">
        <v>45500</v>
      </c>
      <c r="D626" t="s">
        <v>7</v>
      </c>
      <c r="E626" t="s">
        <v>8</v>
      </c>
      <c r="F626">
        <f t="shared" ca="1" si="27"/>
        <v>24</v>
      </c>
      <c r="G626" t="str">
        <f t="shared" ca="1" si="28"/>
        <v>2. 1-3yr</v>
      </c>
      <c r="H626">
        <f t="shared" si="29"/>
        <v>0</v>
      </c>
    </row>
    <row r="627" spans="1:8" x14ac:dyDescent="0.3">
      <c r="A627">
        <v>1412</v>
      </c>
      <c r="B627" t="s">
        <v>12</v>
      </c>
      <c r="C627" s="1">
        <v>45631</v>
      </c>
      <c r="D627" t="s">
        <v>7</v>
      </c>
      <c r="E627" t="s">
        <v>8</v>
      </c>
      <c r="F627">
        <f t="shared" ca="1" si="27"/>
        <v>20</v>
      </c>
      <c r="G627" t="str">
        <f t="shared" ca="1" si="28"/>
        <v>2. 1-3yr</v>
      </c>
      <c r="H627">
        <f t="shared" si="29"/>
        <v>0</v>
      </c>
    </row>
    <row r="628" spans="1:8" x14ac:dyDescent="0.3">
      <c r="A628">
        <v>1426</v>
      </c>
      <c r="B628" t="s">
        <v>12</v>
      </c>
      <c r="C628" s="1">
        <v>45250</v>
      </c>
      <c r="D628" t="s">
        <v>7</v>
      </c>
      <c r="E628" t="s">
        <v>8</v>
      </c>
      <c r="F628">
        <f t="shared" ca="1" si="27"/>
        <v>32</v>
      </c>
      <c r="G628" t="str">
        <f t="shared" ca="1" si="28"/>
        <v>2. 1-3yr</v>
      </c>
      <c r="H628">
        <f t="shared" si="29"/>
        <v>0</v>
      </c>
    </row>
    <row r="629" spans="1:8" x14ac:dyDescent="0.3">
      <c r="A629">
        <v>1432</v>
      </c>
      <c r="B629" t="s">
        <v>12</v>
      </c>
      <c r="C629" s="1">
        <v>46187</v>
      </c>
      <c r="D629" t="s">
        <v>7</v>
      </c>
      <c r="E629" t="s">
        <v>8</v>
      </c>
      <c r="F629">
        <f t="shared" ca="1" si="27"/>
        <v>2</v>
      </c>
      <c r="G629" t="str">
        <f t="shared" ca="1" si="28"/>
        <v>1. &lt;1yr</v>
      </c>
      <c r="H629">
        <f t="shared" si="29"/>
        <v>0</v>
      </c>
    </row>
    <row r="630" spans="1:8" x14ac:dyDescent="0.3">
      <c r="A630">
        <v>1453</v>
      </c>
      <c r="B630" t="s">
        <v>12</v>
      </c>
      <c r="C630" s="1">
        <v>45821</v>
      </c>
      <c r="D630" t="s">
        <v>7</v>
      </c>
      <c r="E630" t="s">
        <v>8</v>
      </c>
      <c r="F630">
        <f t="shared" ca="1" si="27"/>
        <v>14</v>
      </c>
      <c r="G630" t="str">
        <f t="shared" ca="1" si="28"/>
        <v>2. 1-3yr</v>
      </c>
      <c r="H630">
        <f t="shared" si="29"/>
        <v>0</v>
      </c>
    </row>
    <row r="631" spans="1:8" x14ac:dyDescent="0.3">
      <c r="A631">
        <v>1456</v>
      </c>
      <c r="B631" t="s">
        <v>12</v>
      </c>
      <c r="C631" s="1">
        <v>45803</v>
      </c>
      <c r="D631" t="s">
        <v>7</v>
      </c>
      <c r="E631" t="s">
        <v>8</v>
      </c>
      <c r="F631">
        <f t="shared" ca="1" si="27"/>
        <v>14</v>
      </c>
      <c r="G631" t="str">
        <f t="shared" ca="1" si="28"/>
        <v>2. 1-3yr</v>
      </c>
      <c r="H631">
        <f t="shared" si="29"/>
        <v>0</v>
      </c>
    </row>
    <row r="632" spans="1:8" x14ac:dyDescent="0.3">
      <c r="A632">
        <v>1457</v>
      </c>
      <c r="B632" t="s">
        <v>12</v>
      </c>
      <c r="C632" s="1">
        <v>46199</v>
      </c>
      <c r="D632" t="s">
        <v>6</v>
      </c>
      <c r="E632" s="1">
        <v>46229</v>
      </c>
      <c r="F632">
        <f t="shared" ca="1" si="27"/>
        <v>1</v>
      </c>
      <c r="G632" t="str">
        <f t="shared" ca="1" si="28"/>
        <v>1. &lt;1yr</v>
      </c>
      <c r="H632">
        <f t="shared" si="29"/>
        <v>1</v>
      </c>
    </row>
    <row r="633" spans="1:8" x14ac:dyDescent="0.3">
      <c r="A633">
        <v>1459</v>
      </c>
      <c r="B633" t="s">
        <v>12</v>
      </c>
      <c r="C633" s="1">
        <v>44573</v>
      </c>
      <c r="D633" t="s">
        <v>7</v>
      </c>
      <c r="E633" t="s">
        <v>8</v>
      </c>
      <c r="F633">
        <f t="shared" ca="1" si="27"/>
        <v>55</v>
      </c>
      <c r="G633" t="str">
        <f t="shared" ca="1" si="28"/>
        <v>3. 3-5yr</v>
      </c>
      <c r="H633">
        <f t="shared" si="29"/>
        <v>0</v>
      </c>
    </row>
    <row r="634" spans="1:8" x14ac:dyDescent="0.3">
      <c r="A634">
        <v>1476</v>
      </c>
      <c r="B634" t="s">
        <v>12</v>
      </c>
      <c r="C634" s="1">
        <v>46207</v>
      </c>
      <c r="D634" t="s">
        <v>7</v>
      </c>
      <c r="E634" t="s">
        <v>8</v>
      </c>
      <c r="F634">
        <f t="shared" ca="1" si="27"/>
        <v>1</v>
      </c>
      <c r="G634" t="str">
        <f t="shared" ca="1" si="28"/>
        <v>1. &lt;1yr</v>
      </c>
      <c r="H634">
        <f t="shared" si="29"/>
        <v>0</v>
      </c>
    </row>
    <row r="635" spans="1:8" x14ac:dyDescent="0.3">
      <c r="A635">
        <v>1480</v>
      </c>
      <c r="B635" t="s">
        <v>12</v>
      </c>
      <c r="C635" s="1">
        <v>45796</v>
      </c>
      <c r="D635" t="s">
        <v>7</v>
      </c>
      <c r="E635" t="s">
        <v>8</v>
      </c>
      <c r="F635">
        <f t="shared" ca="1" si="27"/>
        <v>14</v>
      </c>
      <c r="G635" t="str">
        <f t="shared" ca="1" si="28"/>
        <v>2. 1-3yr</v>
      </c>
      <c r="H635">
        <f t="shared" si="29"/>
        <v>0</v>
      </c>
    </row>
    <row r="636" spans="1:8" x14ac:dyDescent="0.3">
      <c r="A636">
        <v>1489</v>
      </c>
      <c r="B636" t="s">
        <v>12</v>
      </c>
      <c r="C636" s="1">
        <v>44655</v>
      </c>
      <c r="D636" t="s">
        <v>6</v>
      </c>
      <c r="E636" s="1">
        <v>45498</v>
      </c>
      <c r="F636">
        <f t="shared" ca="1" si="27"/>
        <v>27</v>
      </c>
      <c r="G636" t="str">
        <f t="shared" ca="1" si="28"/>
        <v>2. 1-3yr</v>
      </c>
      <c r="H636">
        <f t="shared" si="29"/>
        <v>1</v>
      </c>
    </row>
    <row r="637" spans="1:8" x14ac:dyDescent="0.3">
      <c r="A637">
        <v>1491</v>
      </c>
      <c r="B637" t="s">
        <v>12</v>
      </c>
      <c r="C637" s="1">
        <v>45269</v>
      </c>
      <c r="D637" t="s">
        <v>7</v>
      </c>
      <c r="E637" t="s">
        <v>8</v>
      </c>
      <c r="F637">
        <f t="shared" ca="1" si="27"/>
        <v>32</v>
      </c>
      <c r="G637" t="str">
        <f t="shared" ca="1" si="28"/>
        <v>2. 1-3yr</v>
      </c>
      <c r="H637">
        <f t="shared" si="29"/>
        <v>0</v>
      </c>
    </row>
    <row r="638" spans="1:8" x14ac:dyDescent="0.3">
      <c r="A638">
        <v>1496</v>
      </c>
      <c r="B638" t="s">
        <v>12</v>
      </c>
      <c r="C638" s="1">
        <v>45495</v>
      </c>
      <c r="D638" t="s">
        <v>7</v>
      </c>
      <c r="E638" t="s">
        <v>8</v>
      </c>
      <c r="F638">
        <f t="shared" ca="1" si="27"/>
        <v>24</v>
      </c>
      <c r="G638" t="str">
        <f t="shared" ca="1" si="28"/>
        <v>2. 1-3yr</v>
      </c>
      <c r="H638">
        <f t="shared" si="29"/>
        <v>0</v>
      </c>
    </row>
    <row r="639" spans="1:8" x14ac:dyDescent="0.3">
      <c r="A639">
        <v>1501</v>
      </c>
      <c r="B639" t="s">
        <v>12</v>
      </c>
      <c r="C639" s="1">
        <v>44889</v>
      </c>
      <c r="D639" t="s">
        <v>7</v>
      </c>
      <c r="E639" t="s">
        <v>8</v>
      </c>
      <c r="F639">
        <f t="shared" ca="1" si="27"/>
        <v>44</v>
      </c>
      <c r="G639" t="str">
        <f t="shared" ca="1" si="28"/>
        <v>3. 3-5yr</v>
      </c>
      <c r="H639">
        <f t="shared" si="29"/>
        <v>0</v>
      </c>
    </row>
    <row r="640" spans="1:8" x14ac:dyDescent="0.3">
      <c r="A640">
        <v>1518</v>
      </c>
      <c r="B640" t="s">
        <v>12</v>
      </c>
      <c r="C640" s="1">
        <v>45278</v>
      </c>
      <c r="D640" t="s">
        <v>7</v>
      </c>
      <c r="E640" t="s">
        <v>8</v>
      </c>
      <c r="F640">
        <f t="shared" ca="1" si="27"/>
        <v>32</v>
      </c>
      <c r="G640" t="str">
        <f t="shared" ca="1" si="28"/>
        <v>2. 1-3yr</v>
      </c>
      <c r="H640">
        <f t="shared" si="29"/>
        <v>0</v>
      </c>
    </row>
    <row r="641" spans="1:8" x14ac:dyDescent="0.3">
      <c r="A641">
        <v>1525</v>
      </c>
      <c r="B641" t="s">
        <v>12</v>
      </c>
      <c r="C641" s="1">
        <v>45635</v>
      </c>
      <c r="D641" t="s">
        <v>7</v>
      </c>
      <c r="E641" t="s">
        <v>8</v>
      </c>
      <c r="F641">
        <f t="shared" ca="1" si="27"/>
        <v>20</v>
      </c>
      <c r="G641" t="str">
        <f t="shared" ca="1" si="28"/>
        <v>2. 1-3yr</v>
      </c>
      <c r="H641">
        <f t="shared" si="29"/>
        <v>0</v>
      </c>
    </row>
    <row r="642" spans="1:8" x14ac:dyDescent="0.3">
      <c r="A642">
        <v>1536</v>
      </c>
      <c r="B642" t="s">
        <v>12</v>
      </c>
      <c r="C642" s="1">
        <v>44427</v>
      </c>
      <c r="D642" t="s">
        <v>7</v>
      </c>
      <c r="E642" t="s">
        <v>8</v>
      </c>
      <c r="F642">
        <f t="shared" ca="1" si="27"/>
        <v>59</v>
      </c>
      <c r="G642" t="str">
        <f t="shared" ca="1" si="28"/>
        <v>3. 3-5yr</v>
      </c>
      <c r="H642">
        <f t="shared" si="29"/>
        <v>0</v>
      </c>
    </row>
    <row r="643" spans="1:8" x14ac:dyDescent="0.3">
      <c r="A643">
        <v>1558</v>
      </c>
      <c r="B643" t="s">
        <v>12</v>
      </c>
      <c r="C643" s="1">
        <v>45743</v>
      </c>
      <c r="D643" t="s">
        <v>7</v>
      </c>
      <c r="E643" t="s">
        <v>8</v>
      </c>
      <c r="F643">
        <f t="shared" ref="F643:F706" ca="1" si="30">DATEDIF(C643, IF(OR(E643="",E643="NULL"), TODAY(), E643), "m")</f>
        <v>16</v>
      </c>
      <c r="G643" t="str">
        <f t="shared" ref="G643:G706" ca="1" si="31">IF(F643&lt;12,"1. &lt;1yr",IF(F643&lt;36,"2. 1-3yr",IF(F643&lt;60,"3. 3-5yr","4. 5+yr")))</f>
        <v>2. 1-3yr</v>
      </c>
      <c r="H643">
        <f t="shared" ref="H643:H706" si="32">IF(D643="Yes",1,0)</f>
        <v>0</v>
      </c>
    </row>
    <row r="644" spans="1:8" x14ac:dyDescent="0.3">
      <c r="A644">
        <v>1583</v>
      </c>
      <c r="B644" t="s">
        <v>12</v>
      </c>
      <c r="C644" s="1">
        <v>46218</v>
      </c>
      <c r="D644" t="s">
        <v>7</v>
      </c>
      <c r="E644" t="s">
        <v>8</v>
      </c>
      <c r="F644">
        <f t="shared" ca="1" si="30"/>
        <v>1</v>
      </c>
      <c r="G644" t="str">
        <f t="shared" ca="1" si="31"/>
        <v>1. &lt;1yr</v>
      </c>
      <c r="H644">
        <f t="shared" si="32"/>
        <v>0</v>
      </c>
    </row>
    <row r="645" spans="1:8" x14ac:dyDescent="0.3">
      <c r="A645">
        <v>1600</v>
      </c>
      <c r="B645" t="s">
        <v>12</v>
      </c>
      <c r="C645" s="1">
        <v>45891</v>
      </c>
      <c r="D645" t="s">
        <v>7</v>
      </c>
      <c r="E645" t="s">
        <v>8</v>
      </c>
      <c r="F645">
        <f t="shared" ca="1" si="30"/>
        <v>11</v>
      </c>
      <c r="G645" t="str">
        <f t="shared" ca="1" si="31"/>
        <v>1. &lt;1yr</v>
      </c>
      <c r="H645">
        <f t="shared" si="32"/>
        <v>0</v>
      </c>
    </row>
    <row r="646" spans="1:8" x14ac:dyDescent="0.3">
      <c r="A646">
        <v>1603</v>
      </c>
      <c r="B646" t="s">
        <v>12</v>
      </c>
      <c r="C646" s="1">
        <v>45413</v>
      </c>
      <c r="D646" t="s">
        <v>7</v>
      </c>
      <c r="E646" t="s">
        <v>8</v>
      </c>
      <c r="F646">
        <f t="shared" ca="1" si="30"/>
        <v>27</v>
      </c>
      <c r="G646" t="str">
        <f t="shared" ca="1" si="31"/>
        <v>2. 1-3yr</v>
      </c>
      <c r="H646">
        <f t="shared" si="32"/>
        <v>0</v>
      </c>
    </row>
    <row r="647" spans="1:8" x14ac:dyDescent="0.3">
      <c r="A647">
        <v>1607</v>
      </c>
      <c r="B647" t="s">
        <v>12</v>
      </c>
      <c r="C647" s="1">
        <v>45667</v>
      </c>
      <c r="D647" t="s">
        <v>7</v>
      </c>
      <c r="E647" t="s">
        <v>8</v>
      </c>
      <c r="F647">
        <f t="shared" ca="1" si="30"/>
        <v>19</v>
      </c>
      <c r="G647" t="str">
        <f t="shared" ca="1" si="31"/>
        <v>2. 1-3yr</v>
      </c>
      <c r="H647">
        <f t="shared" si="32"/>
        <v>0</v>
      </c>
    </row>
    <row r="648" spans="1:8" x14ac:dyDescent="0.3">
      <c r="A648">
        <v>1627</v>
      </c>
      <c r="B648" t="s">
        <v>12</v>
      </c>
      <c r="C648" s="1">
        <v>45736</v>
      </c>
      <c r="D648" t="s">
        <v>7</v>
      </c>
      <c r="E648" t="s">
        <v>8</v>
      </c>
      <c r="F648">
        <f t="shared" ca="1" si="30"/>
        <v>16</v>
      </c>
      <c r="G648" t="str">
        <f t="shared" ca="1" si="31"/>
        <v>2. 1-3yr</v>
      </c>
      <c r="H648">
        <f t="shared" si="32"/>
        <v>0</v>
      </c>
    </row>
    <row r="649" spans="1:8" x14ac:dyDescent="0.3">
      <c r="A649">
        <v>1638</v>
      </c>
      <c r="B649" t="s">
        <v>12</v>
      </c>
      <c r="C649" s="1">
        <v>45183</v>
      </c>
      <c r="D649" t="s">
        <v>7</v>
      </c>
      <c r="E649" t="s">
        <v>8</v>
      </c>
      <c r="F649">
        <f t="shared" ca="1" si="30"/>
        <v>35</v>
      </c>
      <c r="G649" t="str">
        <f t="shared" ca="1" si="31"/>
        <v>2. 1-3yr</v>
      </c>
      <c r="H649">
        <f t="shared" si="32"/>
        <v>0</v>
      </c>
    </row>
    <row r="650" spans="1:8" x14ac:dyDescent="0.3">
      <c r="A650">
        <v>1652</v>
      </c>
      <c r="B650" t="s">
        <v>12</v>
      </c>
      <c r="C650" s="1">
        <v>45173</v>
      </c>
      <c r="D650" t="s">
        <v>7</v>
      </c>
      <c r="E650" t="s">
        <v>8</v>
      </c>
      <c r="F650">
        <f t="shared" ca="1" si="30"/>
        <v>35</v>
      </c>
      <c r="G650" t="str">
        <f t="shared" ca="1" si="31"/>
        <v>2. 1-3yr</v>
      </c>
      <c r="H650">
        <f t="shared" si="32"/>
        <v>0</v>
      </c>
    </row>
    <row r="651" spans="1:8" x14ac:dyDescent="0.3">
      <c r="A651">
        <v>1661</v>
      </c>
      <c r="B651" t="s">
        <v>12</v>
      </c>
      <c r="C651" s="1">
        <v>45930</v>
      </c>
      <c r="D651" t="s">
        <v>6</v>
      </c>
      <c r="E651" s="1">
        <v>45960</v>
      </c>
      <c r="F651">
        <f t="shared" ca="1" si="30"/>
        <v>1</v>
      </c>
      <c r="G651" t="str">
        <f t="shared" ca="1" si="31"/>
        <v>1. &lt;1yr</v>
      </c>
      <c r="H651">
        <f t="shared" si="32"/>
        <v>1</v>
      </c>
    </row>
    <row r="652" spans="1:8" x14ac:dyDescent="0.3">
      <c r="A652">
        <v>1664</v>
      </c>
      <c r="B652" t="s">
        <v>12</v>
      </c>
      <c r="C652" s="1">
        <v>45763</v>
      </c>
      <c r="D652" t="s">
        <v>7</v>
      </c>
      <c r="E652" t="s">
        <v>8</v>
      </c>
      <c r="F652">
        <f t="shared" ca="1" si="30"/>
        <v>16</v>
      </c>
      <c r="G652" t="str">
        <f t="shared" ca="1" si="31"/>
        <v>2. 1-3yr</v>
      </c>
      <c r="H652">
        <f t="shared" si="32"/>
        <v>0</v>
      </c>
    </row>
    <row r="653" spans="1:8" x14ac:dyDescent="0.3">
      <c r="A653">
        <v>1667</v>
      </c>
      <c r="B653" t="s">
        <v>12</v>
      </c>
      <c r="C653" s="1">
        <v>44295</v>
      </c>
      <c r="D653" t="s">
        <v>7</v>
      </c>
      <c r="E653" t="s">
        <v>8</v>
      </c>
      <c r="F653">
        <f t="shared" ca="1" si="30"/>
        <v>64</v>
      </c>
      <c r="G653" t="str">
        <f t="shared" ca="1" si="31"/>
        <v>4. 5+yr</v>
      </c>
      <c r="H653">
        <f t="shared" si="32"/>
        <v>0</v>
      </c>
    </row>
    <row r="654" spans="1:8" x14ac:dyDescent="0.3">
      <c r="A654">
        <v>1682</v>
      </c>
      <c r="B654" t="s">
        <v>12</v>
      </c>
      <c r="C654" s="1">
        <v>45483</v>
      </c>
      <c r="D654" t="s">
        <v>7</v>
      </c>
      <c r="E654" t="s">
        <v>8</v>
      </c>
      <c r="F654">
        <f t="shared" ca="1" si="30"/>
        <v>25</v>
      </c>
      <c r="G654" t="str">
        <f t="shared" ca="1" si="31"/>
        <v>2. 1-3yr</v>
      </c>
      <c r="H654">
        <f t="shared" si="32"/>
        <v>0</v>
      </c>
    </row>
    <row r="655" spans="1:8" x14ac:dyDescent="0.3">
      <c r="A655">
        <v>1697</v>
      </c>
      <c r="B655" t="s">
        <v>12</v>
      </c>
      <c r="C655" s="1">
        <v>45707</v>
      </c>
      <c r="D655" t="s">
        <v>7</v>
      </c>
      <c r="E655" t="s">
        <v>8</v>
      </c>
      <c r="F655">
        <f t="shared" ca="1" si="30"/>
        <v>17</v>
      </c>
      <c r="G655" t="str">
        <f t="shared" ca="1" si="31"/>
        <v>2. 1-3yr</v>
      </c>
      <c r="H655">
        <f t="shared" si="32"/>
        <v>0</v>
      </c>
    </row>
    <row r="656" spans="1:8" x14ac:dyDescent="0.3">
      <c r="A656">
        <v>1698</v>
      </c>
      <c r="B656" t="s">
        <v>12</v>
      </c>
      <c r="C656" s="1">
        <v>45542</v>
      </c>
      <c r="D656" t="s">
        <v>7</v>
      </c>
      <c r="E656" t="s">
        <v>8</v>
      </c>
      <c r="F656">
        <f t="shared" ca="1" si="30"/>
        <v>23</v>
      </c>
      <c r="G656" t="str">
        <f t="shared" ca="1" si="31"/>
        <v>2. 1-3yr</v>
      </c>
      <c r="H656">
        <f t="shared" si="32"/>
        <v>0</v>
      </c>
    </row>
    <row r="657" spans="1:8" x14ac:dyDescent="0.3">
      <c r="A657">
        <v>1704</v>
      </c>
      <c r="B657" t="s">
        <v>12</v>
      </c>
      <c r="C657" s="1">
        <v>45518</v>
      </c>
      <c r="D657" t="s">
        <v>6</v>
      </c>
      <c r="E657" s="1">
        <v>45719</v>
      </c>
      <c r="F657">
        <f t="shared" ca="1" si="30"/>
        <v>6</v>
      </c>
      <c r="G657" t="str">
        <f t="shared" ca="1" si="31"/>
        <v>1. &lt;1yr</v>
      </c>
      <c r="H657">
        <f t="shared" si="32"/>
        <v>1</v>
      </c>
    </row>
    <row r="658" spans="1:8" x14ac:dyDescent="0.3">
      <c r="A658">
        <v>1730</v>
      </c>
      <c r="B658" t="s">
        <v>12</v>
      </c>
      <c r="C658" s="1">
        <v>46104</v>
      </c>
      <c r="D658" t="s">
        <v>7</v>
      </c>
      <c r="E658" t="s">
        <v>8</v>
      </c>
      <c r="F658">
        <f t="shared" ca="1" si="30"/>
        <v>4</v>
      </c>
      <c r="G658" t="str">
        <f t="shared" ca="1" si="31"/>
        <v>1. &lt;1yr</v>
      </c>
      <c r="H658">
        <f t="shared" si="32"/>
        <v>0</v>
      </c>
    </row>
    <row r="659" spans="1:8" x14ac:dyDescent="0.3">
      <c r="A659">
        <v>1739</v>
      </c>
      <c r="B659" t="s">
        <v>12</v>
      </c>
      <c r="C659" s="1">
        <v>44971</v>
      </c>
      <c r="D659" t="s">
        <v>7</v>
      </c>
      <c r="E659" t="s">
        <v>8</v>
      </c>
      <c r="F659">
        <f t="shared" ca="1" si="30"/>
        <v>42</v>
      </c>
      <c r="G659" t="str">
        <f t="shared" ca="1" si="31"/>
        <v>3. 3-5yr</v>
      </c>
      <c r="H659">
        <f t="shared" si="32"/>
        <v>0</v>
      </c>
    </row>
    <row r="660" spans="1:8" x14ac:dyDescent="0.3">
      <c r="A660">
        <v>1745</v>
      </c>
      <c r="B660" t="s">
        <v>12</v>
      </c>
      <c r="C660" s="1">
        <v>45567</v>
      </c>
      <c r="D660" t="s">
        <v>7</v>
      </c>
      <c r="E660" t="s">
        <v>8</v>
      </c>
      <c r="F660">
        <f t="shared" ca="1" si="30"/>
        <v>22</v>
      </c>
      <c r="G660" t="str">
        <f t="shared" ca="1" si="31"/>
        <v>2. 1-3yr</v>
      </c>
      <c r="H660">
        <f t="shared" si="32"/>
        <v>0</v>
      </c>
    </row>
    <row r="661" spans="1:8" x14ac:dyDescent="0.3">
      <c r="A661">
        <v>1746</v>
      </c>
      <c r="B661" t="s">
        <v>12</v>
      </c>
      <c r="C661" s="1">
        <v>45577</v>
      </c>
      <c r="D661" t="s">
        <v>6</v>
      </c>
      <c r="E661" s="1">
        <v>45887</v>
      </c>
      <c r="F661">
        <f t="shared" ca="1" si="30"/>
        <v>10</v>
      </c>
      <c r="G661" t="str">
        <f t="shared" ca="1" si="31"/>
        <v>1. &lt;1yr</v>
      </c>
      <c r="H661">
        <f t="shared" si="32"/>
        <v>1</v>
      </c>
    </row>
    <row r="662" spans="1:8" x14ac:dyDescent="0.3">
      <c r="A662">
        <v>1758</v>
      </c>
      <c r="B662" t="s">
        <v>12</v>
      </c>
      <c r="C662" s="1">
        <v>45184</v>
      </c>
      <c r="D662" t="s">
        <v>7</v>
      </c>
      <c r="E662" t="s">
        <v>8</v>
      </c>
      <c r="F662">
        <f t="shared" ca="1" si="30"/>
        <v>35</v>
      </c>
      <c r="G662" t="str">
        <f t="shared" ca="1" si="31"/>
        <v>2. 1-3yr</v>
      </c>
      <c r="H662">
        <f t="shared" si="32"/>
        <v>0</v>
      </c>
    </row>
    <row r="663" spans="1:8" x14ac:dyDescent="0.3">
      <c r="A663">
        <v>1763</v>
      </c>
      <c r="B663" t="s">
        <v>12</v>
      </c>
      <c r="C663" s="1">
        <v>45424</v>
      </c>
      <c r="D663" t="s">
        <v>7</v>
      </c>
      <c r="E663" t="s">
        <v>8</v>
      </c>
      <c r="F663">
        <f t="shared" ca="1" si="30"/>
        <v>27</v>
      </c>
      <c r="G663" t="str">
        <f t="shared" ca="1" si="31"/>
        <v>2. 1-3yr</v>
      </c>
      <c r="H663">
        <f t="shared" si="32"/>
        <v>0</v>
      </c>
    </row>
    <row r="664" spans="1:8" x14ac:dyDescent="0.3">
      <c r="A664">
        <v>1769</v>
      </c>
      <c r="B664" t="s">
        <v>12</v>
      </c>
      <c r="C664" s="1">
        <v>45779</v>
      </c>
      <c r="D664" t="s">
        <v>7</v>
      </c>
      <c r="E664" t="s">
        <v>8</v>
      </c>
      <c r="F664">
        <f t="shared" ca="1" si="30"/>
        <v>15</v>
      </c>
      <c r="G664" t="str">
        <f t="shared" ca="1" si="31"/>
        <v>2. 1-3yr</v>
      </c>
      <c r="H664">
        <f t="shared" si="32"/>
        <v>0</v>
      </c>
    </row>
    <row r="665" spans="1:8" x14ac:dyDescent="0.3">
      <c r="A665">
        <v>1776</v>
      </c>
      <c r="B665" t="s">
        <v>12</v>
      </c>
      <c r="C665" s="1">
        <v>45738</v>
      </c>
      <c r="D665" t="s">
        <v>7</v>
      </c>
      <c r="E665" t="s">
        <v>8</v>
      </c>
      <c r="F665">
        <f t="shared" ca="1" si="30"/>
        <v>16</v>
      </c>
      <c r="G665" t="str">
        <f t="shared" ca="1" si="31"/>
        <v>2. 1-3yr</v>
      </c>
      <c r="H665">
        <f t="shared" si="32"/>
        <v>0</v>
      </c>
    </row>
    <row r="666" spans="1:8" x14ac:dyDescent="0.3">
      <c r="A666">
        <v>1777</v>
      </c>
      <c r="B666" t="s">
        <v>12</v>
      </c>
      <c r="C666" s="1">
        <v>45123</v>
      </c>
      <c r="D666" t="s">
        <v>7</v>
      </c>
      <c r="E666" t="s">
        <v>8</v>
      </c>
      <c r="F666">
        <f t="shared" ca="1" si="30"/>
        <v>37</v>
      </c>
      <c r="G666" t="str">
        <f t="shared" ca="1" si="31"/>
        <v>3. 3-5yr</v>
      </c>
      <c r="H666">
        <f t="shared" si="32"/>
        <v>0</v>
      </c>
    </row>
    <row r="667" spans="1:8" x14ac:dyDescent="0.3">
      <c r="A667">
        <v>1780</v>
      </c>
      <c r="B667" t="s">
        <v>12</v>
      </c>
      <c r="C667" s="1">
        <v>45274</v>
      </c>
      <c r="D667" t="s">
        <v>7</v>
      </c>
      <c r="E667" t="s">
        <v>8</v>
      </c>
      <c r="F667">
        <f t="shared" ca="1" si="30"/>
        <v>32</v>
      </c>
      <c r="G667" t="str">
        <f t="shared" ca="1" si="31"/>
        <v>2. 1-3yr</v>
      </c>
      <c r="H667">
        <f t="shared" si="32"/>
        <v>0</v>
      </c>
    </row>
    <row r="668" spans="1:8" x14ac:dyDescent="0.3">
      <c r="A668">
        <v>1781</v>
      </c>
      <c r="B668" t="s">
        <v>12</v>
      </c>
      <c r="C668" s="1">
        <v>45983</v>
      </c>
      <c r="D668" t="s">
        <v>7</v>
      </c>
      <c r="E668" t="s">
        <v>8</v>
      </c>
      <c r="F668">
        <f t="shared" ca="1" si="30"/>
        <v>8</v>
      </c>
      <c r="G668" t="str">
        <f t="shared" ca="1" si="31"/>
        <v>1. &lt;1yr</v>
      </c>
      <c r="H668">
        <f t="shared" si="32"/>
        <v>0</v>
      </c>
    </row>
    <row r="669" spans="1:8" x14ac:dyDescent="0.3">
      <c r="A669">
        <v>1795</v>
      </c>
      <c r="B669" t="s">
        <v>12</v>
      </c>
      <c r="C669" s="1">
        <v>46094</v>
      </c>
      <c r="D669" t="s">
        <v>6</v>
      </c>
      <c r="E669" s="1">
        <v>46124</v>
      </c>
      <c r="F669">
        <f t="shared" ca="1" si="30"/>
        <v>0</v>
      </c>
      <c r="G669" t="str">
        <f t="shared" ca="1" si="31"/>
        <v>1. &lt;1yr</v>
      </c>
      <c r="H669">
        <f t="shared" si="32"/>
        <v>1</v>
      </c>
    </row>
    <row r="670" spans="1:8" x14ac:dyDescent="0.3">
      <c r="A670">
        <v>1796</v>
      </c>
      <c r="B670" t="s">
        <v>12</v>
      </c>
      <c r="C670" s="1">
        <v>45824</v>
      </c>
      <c r="D670" t="s">
        <v>7</v>
      </c>
      <c r="E670" t="s">
        <v>8</v>
      </c>
      <c r="F670">
        <f t="shared" ca="1" si="30"/>
        <v>14</v>
      </c>
      <c r="G670" t="str">
        <f t="shared" ca="1" si="31"/>
        <v>2. 1-3yr</v>
      </c>
      <c r="H670">
        <f t="shared" si="32"/>
        <v>0</v>
      </c>
    </row>
    <row r="671" spans="1:8" x14ac:dyDescent="0.3">
      <c r="A671">
        <v>1798</v>
      </c>
      <c r="B671" t="s">
        <v>12</v>
      </c>
      <c r="C671" s="1">
        <v>44532</v>
      </c>
      <c r="D671" t="s">
        <v>7</v>
      </c>
      <c r="E671" t="s">
        <v>8</v>
      </c>
      <c r="F671">
        <f t="shared" ca="1" si="30"/>
        <v>56</v>
      </c>
      <c r="G671" t="str">
        <f t="shared" ca="1" si="31"/>
        <v>3. 3-5yr</v>
      </c>
      <c r="H671">
        <f t="shared" si="32"/>
        <v>0</v>
      </c>
    </row>
    <row r="672" spans="1:8" x14ac:dyDescent="0.3">
      <c r="A672">
        <v>1800</v>
      </c>
      <c r="B672" t="s">
        <v>12</v>
      </c>
      <c r="C672" s="1">
        <v>44624</v>
      </c>
      <c r="D672" t="s">
        <v>7</v>
      </c>
      <c r="E672" t="s">
        <v>8</v>
      </c>
      <c r="F672">
        <f t="shared" ca="1" si="30"/>
        <v>53</v>
      </c>
      <c r="G672" t="str">
        <f t="shared" ca="1" si="31"/>
        <v>3. 3-5yr</v>
      </c>
      <c r="H672">
        <f t="shared" si="32"/>
        <v>0</v>
      </c>
    </row>
    <row r="673" spans="1:8" x14ac:dyDescent="0.3">
      <c r="A673">
        <v>1807</v>
      </c>
      <c r="B673" t="s">
        <v>12</v>
      </c>
      <c r="C673" s="1">
        <v>46041</v>
      </c>
      <c r="D673" t="s">
        <v>7</v>
      </c>
      <c r="E673" t="s">
        <v>8</v>
      </c>
      <c r="F673">
        <f t="shared" ca="1" si="30"/>
        <v>6</v>
      </c>
      <c r="G673" t="str">
        <f t="shared" ca="1" si="31"/>
        <v>1. &lt;1yr</v>
      </c>
      <c r="H673">
        <f t="shared" si="32"/>
        <v>0</v>
      </c>
    </row>
    <row r="674" spans="1:8" x14ac:dyDescent="0.3">
      <c r="A674">
        <v>1809</v>
      </c>
      <c r="B674" t="s">
        <v>12</v>
      </c>
      <c r="C674" s="1">
        <v>45677</v>
      </c>
      <c r="D674" t="s">
        <v>6</v>
      </c>
      <c r="E674" s="1">
        <v>45905</v>
      </c>
      <c r="F674">
        <f t="shared" ca="1" si="30"/>
        <v>7</v>
      </c>
      <c r="G674" t="str">
        <f t="shared" ca="1" si="31"/>
        <v>1. &lt;1yr</v>
      </c>
      <c r="H674">
        <f t="shared" si="32"/>
        <v>1</v>
      </c>
    </row>
    <row r="675" spans="1:8" x14ac:dyDescent="0.3">
      <c r="A675">
        <v>1820</v>
      </c>
      <c r="B675" t="s">
        <v>12</v>
      </c>
      <c r="C675" s="1">
        <v>44803</v>
      </c>
      <c r="D675" t="s">
        <v>7</v>
      </c>
      <c r="E675" t="s">
        <v>8</v>
      </c>
      <c r="F675">
        <f t="shared" ca="1" si="30"/>
        <v>47</v>
      </c>
      <c r="G675" t="str">
        <f t="shared" ca="1" si="31"/>
        <v>3. 3-5yr</v>
      </c>
      <c r="H675">
        <f t="shared" si="32"/>
        <v>0</v>
      </c>
    </row>
    <row r="676" spans="1:8" x14ac:dyDescent="0.3">
      <c r="A676">
        <v>1833</v>
      </c>
      <c r="B676" t="s">
        <v>12</v>
      </c>
      <c r="C676" s="1">
        <v>46161</v>
      </c>
      <c r="D676" t="s">
        <v>7</v>
      </c>
      <c r="E676" t="s">
        <v>8</v>
      </c>
      <c r="F676">
        <f t="shared" ca="1" si="30"/>
        <v>2</v>
      </c>
      <c r="G676" t="str">
        <f t="shared" ca="1" si="31"/>
        <v>1. &lt;1yr</v>
      </c>
      <c r="H676">
        <f t="shared" si="32"/>
        <v>0</v>
      </c>
    </row>
    <row r="677" spans="1:8" x14ac:dyDescent="0.3">
      <c r="A677">
        <v>1836</v>
      </c>
      <c r="B677" t="s">
        <v>12</v>
      </c>
      <c r="C677" s="1">
        <v>44871</v>
      </c>
      <c r="D677" t="s">
        <v>7</v>
      </c>
      <c r="E677" t="s">
        <v>8</v>
      </c>
      <c r="F677">
        <f t="shared" ca="1" si="30"/>
        <v>45</v>
      </c>
      <c r="G677" t="str">
        <f t="shared" ca="1" si="31"/>
        <v>3. 3-5yr</v>
      </c>
      <c r="H677">
        <f t="shared" si="32"/>
        <v>0</v>
      </c>
    </row>
    <row r="678" spans="1:8" x14ac:dyDescent="0.3">
      <c r="A678">
        <v>1850</v>
      </c>
      <c r="B678" t="s">
        <v>12</v>
      </c>
      <c r="C678" s="1">
        <v>45531</v>
      </c>
      <c r="D678" t="s">
        <v>7</v>
      </c>
      <c r="E678" t="s">
        <v>8</v>
      </c>
      <c r="F678">
        <f t="shared" ca="1" si="30"/>
        <v>23</v>
      </c>
      <c r="G678" t="str">
        <f t="shared" ca="1" si="31"/>
        <v>2. 1-3yr</v>
      </c>
      <c r="H678">
        <f t="shared" si="32"/>
        <v>0</v>
      </c>
    </row>
    <row r="679" spans="1:8" x14ac:dyDescent="0.3">
      <c r="A679">
        <v>1004</v>
      </c>
      <c r="B679" t="s">
        <v>13</v>
      </c>
      <c r="C679" s="1">
        <v>46209</v>
      </c>
      <c r="D679" t="s">
        <v>7</v>
      </c>
      <c r="E679" t="s">
        <v>8</v>
      </c>
      <c r="F679">
        <f t="shared" ca="1" si="30"/>
        <v>1</v>
      </c>
      <c r="G679" t="str">
        <f t="shared" ca="1" si="31"/>
        <v>1. &lt;1yr</v>
      </c>
      <c r="H679">
        <f t="shared" si="32"/>
        <v>0</v>
      </c>
    </row>
    <row r="680" spans="1:8" x14ac:dyDescent="0.3">
      <c r="A680">
        <v>1055</v>
      </c>
      <c r="B680" t="s">
        <v>13</v>
      </c>
      <c r="C680" s="1">
        <v>45531</v>
      </c>
      <c r="D680" t="s">
        <v>7</v>
      </c>
      <c r="E680" t="s">
        <v>8</v>
      </c>
      <c r="F680">
        <f t="shared" ca="1" si="30"/>
        <v>23</v>
      </c>
      <c r="G680" t="str">
        <f t="shared" ca="1" si="31"/>
        <v>2. 1-3yr</v>
      </c>
      <c r="H680">
        <f t="shared" si="32"/>
        <v>0</v>
      </c>
    </row>
    <row r="681" spans="1:8" x14ac:dyDescent="0.3">
      <c r="A681">
        <v>1066</v>
      </c>
      <c r="B681" t="s">
        <v>13</v>
      </c>
      <c r="C681" s="1">
        <v>45444</v>
      </c>
      <c r="D681" t="s">
        <v>7</v>
      </c>
      <c r="E681" t="s">
        <v>8</v>
      </c>
      <c r="F681">
        <f t="shared" ca="1" si="30"/>
        <v>26</v>
      </c>
      <c r="G681" t="str">
        <f t="shared" ca="1" si="31"/>
        <v>2. 1-3yr</v>
      </c>
      <c r="H681">
        <f t="shared" si="32"/>
        <v>0</v>
      </c>
    </row>
    <row r="682" spans="1:8" x14ac:dyDescent="0.3">
      <c r="A682">
        <v>1069</v>
      </c>
      <c r="B682" t="s">
        <v>13</v>
      </c>
      <c r="C682" s="1">
        <v>45890</v>
      </c>
      <c r="D682" t="s">
        <v>7</v>
      </c>
      <c r="E682" t="s">
        <v>8</v>
      </c>
      <c r="F682">
        <f t="shared" ca="1" si="30"/>
        <v>11</v>
      </c>
      <c r="G682" t="str">
        <f t="shared" ca="1" si="31"/>
        <v>1. &lt;1yr</v>
      </c>
      <c r="H682">
        <f t="shared" si="32"/>
        <v>0</v>
      </c>
    </row>
    <row r="683" spans="1:8" x14ac:dyDescent="0.3">
      <c r="A683">
        <v>1072</v>
      </c>
      <c r="B683" t="s">
        <v>13</v>
      </c>
      <c r="C683" s="1">
        <v>44662</v>
      </c>
      <c r="D683" t="s">
        <v>7</v>
      </c>
      <c r="E683" t="s">
        <v>8</v>
      </c>
      <c r="F683">
        <f t="shared" ca="1" si="30"/>
        <v>52</v>
      </c>
      <c r="G683" t="str">
        <f t="shared" ca="1" si="31"/>
        <v>3. 3-5yr</v>
      </c>
      <c r="H683">
        <f t="shared" si="32"/>
        <v>0</v>
      </c>
    </row>
    <row r="684" spans="1:8" x14ac:dyDescent="0.3">
      <c r="A684">
        <v>1076</v>
      </c>
      <c r="B684" t="s">
        <v>13</v>
      </c>
      <c r="C684" s="1">
        <v>46106</v>
      </c>
      <c r="D684" t="s">
        <v>7</v>
      </c>
      <c r="E684" t="s">
        <v>8</v>
      </c>
      <c r="F684">
        <f t="shared" ca="1" si="30"/>
        <v>4</v>
      </c>
      <c r="G684" t="str">
        <f t="shared" ca="1" si="31"/>
        <v>1. &lt;1yr</v>
      </c>
      <c r="H684">
        <f t="shared" si="32"/>
        <v>0</v>
      </c>
    </row>
    <row r="685" spans="1:8" x14ac:dyDescent="0.3">
      <c r="A685">
        <v>1080</v>
      </c>
      <c r="B685" t="s">
        <v>13</v>
      </c>
      <c r="C685" s="1">
        <v>45829</v>
      </c>
      <c r="D685" t="s">
        <v>7</v>
      </c>
      <c r="E685" t="s">
        <v>8</v>
      </c>
      <c r="F685">
        <f t="shared" ca="1" si="30"/>
        <v>13</v>
      </c>
      <c r="G685" t="str">
        <f t="shared" ca="1" si="31"/>
        <v>2. 1-3yr</v>
      </c>
      <c r="H685">
        <f t="shared" si="32"/>
        <v>0</v>
      </c>
    </row>
    <row r="686" spans="1:8" x14ac:dyDescent="0.3">
      <c r="A686">
        <v>1093</v>
      </c>
      <c r="B686" t="s">
        <v>13</v>
      </c>
      <c r="C686" s="1">
        <v>45846</v>
      </c>
      <c r="D686" t="s">
        <v>7</v>
      </c>
      <c r="E686" t="s">
        <v>8</v>
      </c>
      <c r="F686">
        <f t="shared" ca="1" si="30"/>
        <v>13</v>
      </c>
      <c r="G686" t="str">
        <f t="shared" ca="1" si="31"/>
        <v>2. 1-3yr</v>
      </c>
      <c r="H686">
        <f t="shared" si="32"/>
        <v>0</v>
      </c>
    </row>
    <row r="687" spans="1:8" x14ac:dyDescent="0.3">
      <c r="A687">
        <v>1102</v>
      </c>
      <c r="B687" t="s">
        <v>13</v>
      </c>
      <c r="C687" s="1">
        <v>45063</v>
      </c>
      <c r="D687" t="s">
        <v>6</v>
      </c>
      <c r="E687" s="1">
        <v>45493</v>
      </c>
      <c r="F687">
        <f t="shared" ca="1" si="30"/>
        <v>14</v>
      </c>
      <c r="G687" t="str">
        <f t="shared" ca="1" si="31"/>
        <v>2. 1-3yr</v>
      </c>
      <c r="H687">
        <f t="shared" si="32"/>
        <v>1</v>
      </c>
    </row>
    <row r="688" spans="1:8" x14ac:dyDescent="0.3">
      <c r="A688">
        <v>1130</v>
      </c>
      <c r="B688" t="s">
        <v>13</v>
      </c>
      <c r="C688" s="1">
        <v>45759</v>
      </c>
      <c r="D688" t="s">
        <v>6</v>
      </c>
      <c r="E688" s="1">
        <v>45909</v>
      </c>
      <c r="F688">
        <f t="shared" ca="1" si="30"/>
        <v>4</v>
      </c>
      <c r="G688" t="str">
        <f t="shared" ca="1" si="31"/>
        <v>1. &lt;1yr</v>
      </c>
      <c r="H688">
        <f t="shared" si="32"/>
        <v>1</v>
      </c>
    </row>
    <row r="689" spans="1:8" x14ac:dyDescent="0.3">
      <c r="A689">
        <v>1131</v>
      </c>
      <c r="B689" t="s">
        <v>13</v>
      </c>
      <c r="C689" s="1">
        <v>44506</v>
      </c>
      <c r="D689" t="s">
        <v>7</v>
      </c>
      <c r="E689" t="s">
        <v>8</v>
      </c>
      <c r="F689">
        <f t="shared" ca="1" si="30"/>
        <v>57</v>
      </c>
      <c r="G689" t="str">
        <f t="shared" ca="1" si="31"/>
        <v>3. 3-5yr</v>
      </c>
      <c r="H689">
        <f t="shared" si="32"/>
        <v>0</v>
      </c>
    </row>
    <row r="690" spans="1:8" x14ac:dyDescent="0.3">
      <c r="A690">
        <v>1134</v>
      </c>
      <c r="B690" t="s">
        <v>13</v>
      </c>
      <c r="C690" s="1">
        <v>45991</v>
      </c>
      <c r="D690" t="s">
        <v>6</v>
      </c>
      <c r="E690" s="1">
        <v>46021</v>
      </c>
      <c r="F690">
        <f t="shared" ca="1" si="30"/>
        <v>1</v>
      </c>
      <c r="G690" t="str">
        <f t="shared" ca="1" si="31"/>
        <v>1. &lt;1yr</v>
      </c>
      <c r="H690">
        <f t="shared" si="32"/>
        <v>1</v>
      </c>
    </row>
    <row r="691" spans="1:8" x14ac:dyDescent="0.3">
      <c r="A691">
        <v>1135</v>
      </c>
      <c r="B691" t="s">
        <v>13</v>
      </c>
      <c r="C691" s="1">
        <v>45212</v>
      </c>
      <c r="D691" t="s">
        <v>7</v>
      </c>
      <c r="E691" t="s">
        <v>8</v>
      </c>
      <c r="F691">
        <f t="shared" ca="1" si="30"/>
        <v>34</v>
      </c>
      <c r="G691" t="str">
        <f t="shared" ca="1" si="31"/>
        <v>2. 1-3yr</v>
      </c>
      <c r="H691">
        <f t="shared" si="32"/>
        <v>0</v>
      </c>
    </row>
    <row r="692" spans="1:8" x14ac:dyDescent="0.3">
      <c r="A692">
        <v>1158</v>
      </c>
      <c r="B692" t="s">
        <v>13</v>
      </c>
      <c r="C692" s="1">
        <v>45174</v>
      </c>
      <c r="D692" t="s">
        <v>6</v>
      </c>
      <c r="E692" s="1">
        <v>45665</v>
      </c>
      <c r="F692">
        <f t="shared" ca="1" si="30"/>
        <v>16</v>
      </c>
      <c r="G692" t="str">
        <f t="shared" ca="1" si="31"/>
        <v>2. 1-3yr</v>
      </c>
      <c r="H692">
        <f t="shared" si="32"/>
        <v>1</v>
      </c>
    </row>
    <row r="693" spans="1:8" x14ac:dyDescent="0.3">
      <c r="A693">
        <v>1175</v>
      </c>
      <c r="B693" t="s">
        <v>13</v>
      </c>
      <c r="C693" s="1">
        <v>45294</v>
      </c>
      <c r="D693" t="s">
        <v>6</v>
      </c>
      <c r="E693" s="1">
        <v>45886</v>
      </c>
      <c r="F693">
        <f t="shared" ca="1" si="30"/>
        <v>19</v>
      </c>
      <c r="G693" t="str">
        <f t="shared" ca="1" si="31"/>
        <v>2. 1-3yr</v>
      </c>
      <c r="H693">
        <f t="shared" si="32"/>
        <v>1</v>
      </c>
    </row>
    <row r="694" spans="1:8" x14ac:dyDescent="0.3">
      <c r="A694">
        <v>1186</v>
      </c>
      <c r="B694" t="s">
        <v>13</v>
      </c>
      <c r="C694" s="1">
        <v>44846</v>
      </c>
      <c r="D694" t="s">
        <v>7</v>
      </c>
      <c r="E694" t="s">
        <v>8</v>
      </c>
      <c r="F694">
        <f t="shared" ca="1" si="30"/>
        <v>46</v>
      </c>
      <c r="G694" t="str">
        <f t="shared" ca="1" si="31"/>
        <v>3. 3-5yr</v>
      </c>
      <c r="H694">
        <f t="shared" si="32"/>
        <v>0</v>
      </c>
    </row>
    <row r="695" spans="1:8" x14ac:dyDescent="0.3">
      <c r="A695">
        <v>1194</v>
      </c>
      <c r="B695" t="s">
        <v>13</v>
      </c>
      <c r="C695" s="1">
        <v>45219</v>
      </c>
      <c r="D695" t="s">
        <v>6</v>
      </c>
      <c r="E695" s="1">
        <v>45668</v>
      </c>
      <c r="F695">
        <f t="shared" ca="1" si="30"/>
        <v>14</v>
      </c>
      <c r="G695" t="str">
        <f t="shared" ca="1" si="31"/>
        <v>2. 1-3yr</v>
      </c>
      <c r="H695">
        <f t="shared" si="32"/>
        <v>1</v>
      </c>
    </row>
    <row r="696" spans="1:8" x14ac:dyDescent="0.3">
      <c r="A696">
        <v>1202</v>
      </c>
      <c r="B696" t="s">
        <v>13</v>
      </c>
      <c r="C696" s="1">
        <v>46129</v>
      </c>
      <c r="D696" t="s">
        <v>7</v>
      </c>
      <c r="E696" t="s">
        <v>8</v>
      </c>
      <c r="F696">
        <f t="shared" ca="1" si="30"/>
        <v>4</v>
      </c>
      <c r="G696" t="str">
        <f t="shared" ca="1" si="31"/>
        <v>1. &lt;1yr</v>
      </c>
      <c r="H696">
        <f t="shared" si="32"/>
        <v>0</v>
      </c>
    </row>
    <row r="697" spans="1:8" x14ac:dyDescent="0.3">
      <c r="A697">
        <v>1203</v>
      </c>
      <c r="B697" t="s">
        <v>13</v>
      </c>
      <c r="C697" s="1">
        <v>45519</v>
      </c>
      <c r="D697" t="s">
        <v>7</v>
      </c>
      <c r="E697" t="s">
        <v>8</v>
      </c>
      <c r="F697">
        <f t="shared" ca="1" si="30"/>
        <v>24</v>
      </c>
      <c r="G697" t="str">
        <f t="shared" ca="1" si="31"/>
        <v>2. 1-3yr</v>
      </c>
      <c r="H697">
        <f t="shared" si="32"/>
        <v>0</v>
      </c>
    </row>
    <row r="698" spans="1:8" x14ac:dyDescent="0.3">
      <c r="A698">
        <v>1214</v>
      </c>
      <c r="B698" t="s">
        <v>13</v>
      </c>
      <c r="C698" s="1">
        <v>46090</v>
      </c>
      <c r="D698" t="s">
        <v>7</v>
      </c>
      <c r="E698" t="s">
        <v>8</v>
      </c>
      <c r="F698">
        <f t="shared" ca="1" si="30"/>
        <v>5</v>
      </c>
      <c r="G698" t="str">
        <f t="shared" ca="1" si="31"/>
        <v>1. &lt;1yr</v>
      </c>
      <c r="H698">
        <f t="shared" si="32"/>
        <v>0</v>
      </c>
    </row>
    <row r="699" spans="1:8" x14ac:dyDescent="0.3">
      <c r="A699">
        <v>1216</v>
      </c>
      <c r="B699" t="s">
        <v>13</v>
      </c>
      <c r="C699" s="1">
        <v>45645</v>
      </c>
      <c r="D699" t="s">
        <v>7</v>
      </c>
      <c r="E699" t="s">
        <v>8</v>
      </c>
      <c r="F699">
        <f t="shared" ca="1" si="30"/>
        <v>19</v>
      </c>
      <c r="G699" t="str">
        <f t="shared" ca="1" si="31"/>
        <v>2. 1-3yr</v>
      </c>
      <c r="H699">
        <f t="shared" si="32"/>
        <v>0</v>
      </c>
    </row>
    <row r="700" spans="1:8" x14ac:dyDescent="0.3">
      <c r="A700">
        <v>1225</v>
      </c>
      <c r="B700" t="s">
        <v>13</v>
      </c>
      <c r="C700" s="1">
        <v>46009</v>
      </c>
      <c r="D700" t="s">
        <v>6</v>
      </c>
      <c r="E700" s="1">
        <v>46039</v>
      </c>
      <c r="F700">
        <f t="shared" ca="1" si="30"/>
        <v>0</v>
      </c>
      <c r="G700" t="str">
        <f t="shared" ca="1" si="31"/>
        <v>1. &lt;1yr</v>
      </c>
      <c r="H700">
        <f t="shared" si="32"/>
        <v>1</v>
      </c>
    </row>
    <row r="701" spans="1:8" x14ac:dyDescent="0.3">
      <c r="A701">
        <v>1247</v>
      </c>
      <c r="B701" t="s">
        <v>13</v>
      </c>
      <c r="C701" s="1">
        <v>45246</v>
      </c>
      <c r="D701" t="s">
        <v>7</v>
      </c>
      <c r="E701" t="s">
        <v>8</v>
      </c>
      <c r="F701">
        <f t="shared" ca="1" si="30"/>
        <v>33</v>
      </c>
      <c r="G701" t="str">
        <f t="shared" ca="1" si="31"/>
        <v>2. 1-3yr</v>
      </c>
      <c r="H701">
        <f t="shared" si="32"/>
        <v>0</v>
      </c>
    </row>
    <row r="702" spans="1:8" x14ac:dyDescent="0.3">
      <c r="A702">
        <v>1256</v>
      </c>
      <c r="B702" t="s">
        <v>13</v>
      </c>
      <c r="C702" s="1">
        <v>45508</v>
      </c>
      <c r="D702" t="s">
        <v>6</v>
      </c>
      <c r="E702" s="1">
        <v>45723</v>
      </c>
      <c r="F702">
        <f t="shared" ca="1" si="30"/>
        <v>7</v>
      </c>
      <c r="G702" t="str">
        <f t="shared" ca="1" si="31"/>
        <v>1. &lt;1yr</v>
      </c>
      <c r="H702">
        <f t="shared" si="32"/>
        <v>1</v>
      </c>
    </row>
    <row r="703" spans="1:8" x14ac:dyDescent="0.3">
      <c r="A703">
        <v>1262</v>
      </c>
      <c r="B703" t="s">
        <v>13</v>
      </c>
      <c r="C703" s="1">
        <v>45750</v>
      </c>
      <c r="D703" t="s">
        <v>7</v>
      </c>
      <c r="E703" t="s">
        <v>8</v>
      </c>
      <c r="F703">
        <f t="shared" ca="1" si="30"/>
        <v>16</v>
      </c>
      <c r="G703" t="str">
        <f t="shared" ca="1" si="31"/>
        <v>2. 1-3yr</v>
      </c>
      <c r="H703">
        <f t="shared" si="32"/>
        <v>0</v>
      </c>
    </row>
    <row r="704" spans="1:8" x14ac:dyDescent="0.3">
      <c r="A704">
        <v>1264</v>
      </c>
      <c r="B704" t="s">
        <v>13</v>
      </c>
      <c r="C704" s="1">
        <v>44291</v>
      </c>
      <c r="D704" t="s">
        <v>6</v>
      </c>
      <c r="E704" s="1">
        <v>45497</v>
      </c>
      <c r="F704">
        <f t="shared" ca="1" si="30"/>
        <v>39</v>
      </c>
      <c r="G704" t="str">
        <f t="shared" ca="1" si="31"/>
        <v>3. 3-5yr</v>
      </c>
      <c r="H704">
        <f t="shared" si="32"/>
        <v>1</v>
      </c>
    </row>
    <row r="705" spans="1:8" x14ac:dyDescent="0.3">
      <c r="A705">
        <v>1272</v>
      </c>
      <c r="B705" t="s">
        <v>13</v>
      </c>
      <c r="C705" s="1">
        <v>45086</v>
      </c>
      <c r="D705" t="s">
        <v>7</v>
      </c>
      <c r="E705" t="s">
        <v>8</v>
      </c>
      <c r="F705">
        <f t="shared" ca="1" si="30"/>
        <v>38</v>
      </c>
      <c r="G705" t="str">
        <f t="shared" ca="1" si="31"/>
        <v>3. 3-5yr</v>
      </c>
      <c r="H705">
        <f t="shared" si="32"/>
        <v>0</v>
      </c>
    </row>
    <row r="706" spans="1:8" x14ac:dyDescent="0.3">
      <c r="A706">
        <v>1294</v>
      </c>
      <c r="B706" t="s">
        <v>13</v>
      </c>
      <c r="C706" s="1">
        <v>44627</v>
      </c>
      <c r="D706" t="s">
        <v>7</v>
      </c>
      <c r="E706" t="s">
        <v>8</v>
      </c>
      <c r="F706">
        <f t="shared" ca="1" si="30"/>
        <v>53</v>
      </c>
      <c r="G706" t="str">
        <f t="shared" ca="1" si="31"/>
        <v>3. 3-5yr</v>
      </c>
      <c r="H706">
        <f t="shared" si="32"/>
        <v>0</v>
      </c>
    </row>
    <row r="707" spans="1:8" x14ac:dyDescent="0.3">
      <c r="A707">
        <v>1299</v>
      </c>
      <c r="B707" t="s">
        <v>13</v>
      </c>
      <c r="C707" s="1">
        <v>46195</v>
      </c>
      <c r="D707" t="s">
        <v>6</v>
      </c>
      <c r="E707" s="1">
        <v>46225</v>
      </c>
      <c r="F707">
        <f t="shared" ref="F707:F770" ca="1" si="33">DATEDIF(C707, IF(OR(E707="",E707="NULL"), TODAY(), E707), "m")</f>
        <v>1</v>
      </c>
      <c r="G707" t="str">
        <f t="shared" ref="G707:G770" ca="1" si="34">IF(F707&lt;12,"1. &lt;1yr",IF(F707&lt;36,"2. 1-3yr",IF(F707&lt;60,"3. 3-5yr","4. 5+yr")))</f>
        <v>1. &lt;1yr</v>
      </c>
      <c r="H707">
        <f t="shared" ref="H707:H770" si="35">IF(D707="Yes",1,0)</f>
        <v>1</v>
      </c>
    </row>
    <row r="708" spans="1:8" x14ac:dyDescent="0.3">
      <c r="A708">
        <v>1327</v>
      </c>
      <c r="B708" t="s">
        <v>13</v>
      </c>
      <c r="C708" s="1">
        <v>45713</v>
      </c>
      <c r="D708" t="s">
        <v>7</v>
      </c>
      <c r="E708" t="s">
        <v>8</v>
      </c>
      <c r="F708">
        <f t="shared" ca="1" si="33"/>
        <v>17</v>
      </c>
      <c r="G708" t="str">
        <f t="shared" ca="1" si="34"/>
        <v>2. 1-3yr</v>
      </c>
      <c r="H708">
        <f t="shared" si="35"/>
        <v>0</v>
      </c>
    </row>
    <row r="709" spans="1:8" x14ac:dyDescent="0.3">
      <c r="A709">
        <v>1332</v>
      </c>
      <c r="B709" t="s">
        <v>13</v>
      </c>
      <c r="C709" s="1">
        <v>45662</v>
      </c>
      <c r="D709" t="s">
        <v>7</v>
      </c>
      <c r="E709" t="s">
        <v>8</v>
      </c>
      <c r="F709">
        <f t="shared" ca="1" si="33"/>
        <v>19</v>
      </c>
      <c r="G709" t="str">
        <f t="shared" ca="1" si="34"/>
        <v>2. 1-3yr</v>
      </c>
      <c r="H709">
        <f t="shared" si="35"/>
        <v>0</v>
      </c>
    </row>
    <row r="710" spans="1:8" x14ac:dyDescent="0.3">
      <c r="A710">
        <v>1333</v>
      </c>
      <c r="B710" t="s">
        <v>13</v>
      </c>
      <c r="C710" s="1">
        <v>46171</v>
      </c>
      <c r="D710" t="s">
        <v>7</v>
      </c>
      <c r="E710" t="s">
        <v>8</v>
      </c>
      <c r="F710">
        <f t="shared" ca="1" si="33"/>
        <v>2</v>
      </c>
      <c r="G710" t="str">
        <f t="shared" ca="1" si="34"/>
        <v>1. &lt;1yr</v>
      </c>
      <c r="H710">
        <f t="shared" si="35"/>
        <v>0</v>
      </c>
    </row>
    <row r="711" spans="1:8" x14ac:dyDescent="0.3">
      <c r="A711">
        <v>1334</v>
      </c>
      <c r="B711" t="s">
        <v>13</v>
      </c>
      <c r="C711" s="1">
        <v>44653</v>
      </c>
      <c r="D711" t="s">
        <v>7</v>
      </c>
      <c r="E711" t="s">
        <v>8</v>
      </c>
      <c r="F711">
        <f t="shared" ca="1" si="33"/>
        <v>52</v>
      </c>
      <c r="G711" t="str">
        <f t="shared" ca="1" si="34"/>
        <v>3. 3-5yr</v>
      </c>
      <c r="H711">
        <f t="shared" si="35"/>
        <v>0</v>
      </c>
    </row>
    <row r="712" spans="1:8" x14ac:dyDescent="0.3">
      <c r="A712">
        <v>1336</v>
      </c>
      <c r="B712" t="s">
        <v>13</v>
      </c>
      <c r="C712" s="1">
        <v>45839</v>
      </c>
      <c r="D712" t="s">
        <v>7</v>
      </c>
      <c r="E712" t="s">
        <v>8</v>
      </c>
      <c r="F712">
        <f t="shared" ca="1" si="33"/>
        <v>13</v>
      </c>
      <c r="G712" t="str">
        <f t="shared" ca="1" si="34"/>
        <v>2. 1-3yr</v>
      </c>
      <c r="H712">
        <f t="shared" si="35"/>
        <v>0</v>
      </c>
    </row>
    <row r="713" spans="1:8" x14ac:dyDescent="0.3">
      <c r="A713">
        <v>1339</v>
      </c>
      <c r="B713" t="s">
        <v>13</v>
      </c>
      <c r="C713" s="1">
        <v>45810</v>
      </c>
      <c r="D713" t="s">
        <v>7</v>
      </c>
      <c r="E713" t="s">
        <v>8</v>
      </c>
      <c r="F713">
        <f t="shared" ca="1" si="33"/>
        <v>14</v>
      </c>
      <c r="G713" t="str">
        <f t="shared" ca="1" si="34"/>
        <v>2. 1-3yr</v>
      </c>
      <c r="H713">
        <f t="shared" si="35"/>
        <v>0</v>
      </c>
    </row>
    <row r="714" spans="1:8" x14ac:dyDescent="0.3">
      <c r="A714">
        <v>1358</v>
      </c>
      <c r="B714" t="s">
        <v>13</v>
      </c>
      <c r="C714" s="1">
        <v>45932</v>
      </c>
      <c r="D714" t="s">
        <v>6</v>
      </c>
      <c r="E714" s="1">
        <v>45962</v>
      </c>
      <c r="F714">
        <f t="shared" ca="1" si="33"/>
        <v>0</v>
      </c>
      <c r="G714" t="str">
        <f t="shared" ca="1" si="34"/>
        <v>1. &lt;1yr</v>
      </c>
      <c r="H714">
        <f t="shared" si="35"/>
        <v>1</v>
      </c>
    </row>
    <row r="715" spans="1:8" x14ac:dyDescent="0.3">
      <c r="A715">
        <v>1366</v>
      </c>
      <c r="B715" t="s">
        <v>13</v>
      </c>
      <c r="C715" s="1">
        <v>44139</v>
      </c>
      <c r="D715" t="s">
        <v>7</v>
      </c>
      <c r="E715" t="s">
        <v>8</v>
      </c>
      <c r="F715">
        <f t="shared" ca="1" si="33"/>
        <v>69</v>
      </c>
      <c r="G715" t="str">
        <f t="shared" ca="1" si="34"/>
        <v>4. 5+yr</v>
      </c>
      <c r="H715">
        <f t="shared" si="35"/>
        <v>0</v>
      </c>
    </row>
    <row r="716" spans="1:8" x14ac:dyDescent="0.3">
      <c r="A716">
        <v>1374</v>
      </c>
      <c r="B716" t="s">
        <v>13</v>
      </c>
      <c r="C716" s="1">
        <v>46011</v>
      </c>
      <c r="D716" t="s">
        <v>7</v>
      </c>
      <c r="E716" t="s">
        <v>8</v>
      </c>
      <c r="F716">
        <f t="shared" ca="1" si="33"/>
        <v>7</v>
      </c>
      <c r="G716" t="str">
        <f t="shared" ca="1" si="34"/>
        <v>1. &lt;1yr</v>
      </c>
      <c r="H716">
        <f t="shared" si="35"/>
        <v>0</v>
      </c>
    </row>
    <row r="717" spans="1:8" x14ac:dyDescent="0.3">
      <c r="A717">
        <v>1385</v>
      </c>
      <c r="B717" t="s">
        <v>13</v>
      </c>
      <c r="C717" s="1">
        <v>45112</v>
      </c>
      <c r="D717" t="s">
        <v>7</v>
      </c>
      <c r="E717" t="s">
        <v>8</v>
      </c>
      <c r="F717">
        <f t="shared" ca="1" si="33"/>
        <v>37</v>
      </c>
      <c r="G717" t="str">
        <f t="shared" ca="1" si="34"/>
        <v>3. 3-5yr</v>
      </c>
      <c r="H717">
        <f t="shared" si="35"/>
        <v>0</v>
      </c>
    </row>
    <row r="718" spans="1:8" x14ac:dyDescent="0.3">
      <c r="A718">
        <v>1386</v>
      </c>
      <c r="B718" t="s">
        <v>13</v>
      </c>
      <c r="C718" s="1">
        <v>44667</v>
      </c>
      <c r="D718" t="s">
        <v>7</v>
      </c>
      <c r="E718" t="s">
        <v>8</v>
      </c>
      <c r="F718">
        <f t="shared" ca="1" si="33"/>
        <v>52</v>
      </c>
      <c r="G718" t="str">
        <f t="shared" ca="1" si="34"/>
        <v>3. 3-5yr</v>
      </c>
      <c r="H718">
        <f t="shared" si="35"/>
        <v>0</v>
      </c>
    </row>
    <row r="719" spans="1:8" x14ac:dyDescent="0.3">
      <c r="A719">
        <v>1389</v>
      </c>
      <c r="B719" t="s">
        <v>13</v>
      </c>
      <c r="C719" s="1">
        <v>43906</v>
      </c>
      <c r="D719" t="s">
        <v>7</v>
      </c>
      <c r="E719" t="s">
        <v>8</v>
      </c>
      <c r="F719">
        <f t="shared" ca="1" si="33"/>
        <v>77</v>
      </c>
      <c r="G719" t="str">
        <f t="shared" ca="1" si="34"/>
        <v>4. 5+yr</v>
      </c>
      <c r="H719">
        <f t="shared" si="35"/>
        <v>0</v>
      </c>
    </row>
    <row r="720" spans="1:8" x14ac:dyDescent="0.3">
      <c r="A720">
        <v>1407</v>
      </c>
      <c r="B720" t="s">
        <v>13</v>
      </c>
      <c r="C720" s="1">
        <v>45681</v>
      </c>
      <c r="D720" t="s">
        <v>7</v>
      </c>
      <c r="E720" t="s">
        <v>8</v>
      </c>
      <c r="F720">
        <f t="shared" ca="1" si="33"/>
        <v>18</v>
      </c>
      <c r="G720" t="str">
        <f t="shared" ca="1" si="34"/>
        <v>2. 1-3yr</v>
      </c>
      <c r="H720">
        <f t="shared" si="35"/>
        <v>0</v>
      </c>
    </row>
    <row r="721" spans="1:8" x14ac:dyDescent="0.3">
      <c r="A721">
        <v>1411</v>
      </c>
      <c r="B721" t="s">
        <v>13</v>
      </c>
      <c r="C721" s="1">
        <v>45039</v>
      </c>
      <c r="D721" t="s">
        <v>6</v>
      </c>
      <c r="E721" s="1">
        <v>46065</v>
      </c>
      <c r="F721">
        <f t="shared" ca="1" si="33"/>
        <v>33</v>
      </c>
      <c r="G721" t="str">
        <f t="shared" ca="1" si="34"/>
        <v>2. 1-3yr</v>
      </c>
      <c r="H721">
        <f t="shared" si="35"/>
        <v>1</v>
      </c>
    </row>
    <row r="722" spans="1:8" x14ac:dyDescent="0.3">
      <c r="A722">
        <v>1433</v>
      </c>
      <c r="B722" t="s">
        <v>13</v>
      </c>
      <c r="C722" s="1">
        <v>45161</v>
      </c>
      <c r="D722" t="s">
        <v>7</v>
      </c>
      <c r="E722" t="s">
        <v>8</v>
      </c>
      <c r="F722">
        <f t="shared" ca="1" si="33"/>
        <v>35</v>
      </c>
      <c r="G722" t="str">
        <f t="shared" ca="1" si="34"/>
        <v>2. 1-3yr</v>
      </c>
      <c r="H722">
        <f t="shared" si="35"/>
        <v>0</v>
      </c>
    </row>
    <row r="723" spans="1:8" x14ac:dyDescent="0.3">
      <c r="A723">
        <v>1435</v>
      </c>
      <c r="B723" t="s">
        <v>13</v>
      </c>
      <c r="C723" s="1">
        <v>45970</v>
      </c>
      <c r="D723" t="s">
        <v>7</v>
      </c>
      <c r="E723" t="s">
        <v>8</v>
      </c>
      <c r="F723">
        <f t="shared" ca="1" si="33"/>
        <v>9</v>
      </c>
      <c r="G723" t="str">
        <f t="shared" ca="1" si="34"/>
        <v>1. &lt;1yr</v>
      </c>
      <c r="H723">
        <f t="shared" si="35"/>
        <v>0</v>
      </c>
    </row>
    <row r="724" spans="1:8" x14ac:dyDescent="0.3">
      <c r="A724">
        <v>1437</v>
      </c>
      <c r="B724" t="s">
        <v>13</v>
      </c>
      <c r="C724" s="1">
        <v>45201</v>
      </c>
      <c r="D724" t="s">
        <v>7</v>
      </c>
      <c r="E724" t="s">
        <v>8</v>
      </c>
      <c r="F724">
        <f t="shared" ca="1" si="33"/>
        <v>34</v>
      </c>
      <c r="G724" t="str">
        <f t="shared" ca="1" si="34"/>
        <v>2. 1-3yr</v>
      </c>
      <c r="H724">
        <f t="shared" si="35"/>
        <v>0</v>
      </c>
    </row>
    <row r="725" spans="1:8" x14ac:dyDescent="0.3">
      <c r="A725">
        <v>1481</v>
      </c>
      <c r="B725" t="s">
        <v>13</v>
      </c>
      <c r="C725" s="1">
        <v>45232</v>
      </c>
      <c r="D725" t="s">
        <v>7</v>
      </c>
      <c r="E725" t="s">
        <v>8</v>
      </c>
      <c r="F725">
        <f t="shared" ca="1" si="33"/>
        <v>33</v>
      </c>
      <c r="G725" t="str">
        <f t="shared" ca="1" si="34"/>
        <v>2. 1-3yr</v>
      </c>
      <c r="H725">
        <f t="shared" si="35"/>
        <v>0</v>
      </c>
    </row>
    <row r="726" spans="1:8" x14ac:dyDescent="0.3">
      <c r="A726">
        <v>1485</v>
      </c>
      <c r="B726" t="s">
        <v>13</v>
      </c>
      <c r="C726" s="1">
        <v>45245</v>
      </c>
      <c r="D726" t="s">
        <v>7</v>
      </c>
      <c r="E726" t="s">
        <v>8</v>
      </c>
      <c r="F726">
        <f t="shared" ca="1" si="33"/>
        <v>33</v>
      </c>
      <c r="G726" t="str">
        <f t="shared" ca="1" si="34"/>
        <v>2. 1-3yr</v>
      </c>
      <c r="H726">
        <f t="shared" si="35"/>
        <v>0</v>
      </c>
    </row>
    <row r="727" spans="1:8" x14ac:dyDescent="0.3">
      <c r="A727">
        <v>1499</v>
      </c>
      <c r="B727" t="s">
        <v>13</v>
      </c>
      <c r="C727" s="1">
        <v>45194</v>
      </c>
      <c r="D727" t="s">
        <v>7</v>
      </c>
      <c r="E727" t="s">
        <v>8</v>
      </c>
      <c r="F727">
        <f t="shared" ca="1" si="33"/>
        <v>34</v>
      </c>
      <c r="G727" t="str">
        <f t="shared" ca="1" si="34"/>
        <v>2. 1-3yr</v>
      </c>
      <c r="H727">
        <f t="shared" si="35"/>
        <v>0</v>
      </c>
    </row>
    <row r="728" spans="1:8" x14ac:dyDescent="0.3">
      <c r="A728">
        <v>1511</v>
      </c>
      <c r="B728" t="s">
        <v>13</v>
      </c>
      <c r="C728" s="1">
        <v>45610</v>
      </c>
      <c r="D728" t="s">
        <v>6</v>
      </c>
      <c r="E728" s="1">
        <v>45756</v>
      </c>
      <c r="F728">
        <f t="shared" ca="1" si="33"/>
        <v>4</v>
      </c>
      <c r="G728" t="str">
        <f t="shared" ca="1" si="34"/>
        <v>1. &lt;1yr</v>
      </c>
      <c r="H728">
        <f t="shared" si="35"/>
        <v>1</v>
      </c>
    </row>
    <row r="729" spans="1:8" x14ac:dyDescent="0.3">
      <c r="A729">
        <v>1514</v>
      </c>
      <c r="B729" t="s">
        <v>13</v>
      </c>
      <c r="C729" s="1">
        <v>45574</v>
      </c>
      <c r="D729" t="s">
        <v>7</v>
      </c>
      <c r="E729" t="s">
        <v>8</v>
      </c>
      <c r="F729">
        <f t="shared" ca="1" si="33"/>
        <v>22</v>
      </c>
      <c r="G729" t="str">
        <f t="shared" ca="1" si="34"/>
        <v>2. 1-3yr</v>
      </c>
      <c r="H729">
        <f t="shared" si="35"/>
        <v>0</v>
      </c>
    </row>
    <row r="730" spans="1:8" x14ac:dyDescent="0.3">
      <c r="A730">
        <v>1532</v>
      </c>
      <c r="B730" t="s">
        <v>13</v>
      </c>
      <c r="C730" s="1">
        <v>45484</v>
      </c>
      <c r="D730" t="s">
        <v>7</v>
      </c>
      <c r="E730" t="s">
        <v>8</v>
      </c>
      <c r="F730">
        <f t="shared" ca="1" si="33"/>
        <v>25</v>
      </c>
      <c r="G730" t="str">
        <f t="shared" ca="1" si="34"/>
        <v>2. 1-3yr</v>
      </c>
      <c r="H730">
        <f t="shared" si="35"/>
        <v>0</v>
      </c>
    </row>
    <row r="731" spans="1:8" x14ac:dyDescent="0.3">
      <c r="A731">
        <v>1543</v>
      </c>
      <c r="B731" t="s">
        <v>13</v>
      </c>
      <c r="C731" s="1">
        <v>44922</v>
      </c>
      <c r="D731" t="s">
        <v>7</v>
      </c>
      <c r="E731" t="s">
        <v>8</v>
      </c>
      <c r="F731">
        <f t="shared" ca="1" si="33"/>
        <v>43</v>
      </c>
      <c r="G731" t="str">
        <f t="shared" ca="1" si="34"/>
        <v>3. 3-5yr</v>
      </c>
      <c r="H731">
        <f t="shared" si="35"/>
        <v>0</v>
      </c>
    </row>
    <row r="732" spans="1:8" x14ac:dyDescent="0.3">
      <c r="A732">
        <v>1544</v>
      </c>
      <c r="B732" t="s">
        <v>13</v>
      </c>
      <c r="C732" s="1">
        <v>44155</v>
      </c>
      <c r="D732" t="s">
        <v>7</v>
      </c>
      <c r="E732" t="s">
        <v>8</v>
      </c>
      <c r="F732">
        <f t="shared" ca="1" si="33"/>
        <v>68</v>
      </c>
      <c r="G732" t="str">
        <f t="shared" ca="1" si="34"/>
        <v>4. 5+yr</v>
      </c>
      <c r="H732">
        <f t="shared" si="35"/>
        <v>0</v>
      </c>
    </row>
    <row r="733" spans="1:8" x14ac:dyDescent="0.3">
      <c r="A733">
        <v>1546</v>
      </c>
      <c r="B733" t="s">
        <v>13</v>
      </c>
      <c r="C733" s="1">
        <v>45636</v>
      </c>
      <c r="D733" t="s">
        <v>6</v>
      </c>
      <c r="E733" s="1">
        <v>45935</v>
      </c>
      <c r="F733">
        <f t="shared" ca="1" si="33"/>
        <v>9</v>
      </c>
      <c r="G733" t="str">
        <f t="shared" ca="1" si="34"/>
        <v>1. &lt;1yr</v>
      </c>
      <c r="H733">
        <f t="shared" si="35"/>
        <v>1</v>
      </c>
    </row>
    <row r="734" spans="1:8" x14ac:dyDescent="0.3">
      <c r="A734">
        <v>1561</v>
      </c>
      <c r="B734" t="s">
        <v>13</v>
      </c>
      <c r="C734" s="1">
        <v>45470</v>
      </c>
      <c r="D734" t="s">
        <v>7</v>
      </c>
      <c r="E734" t="s">
        <v>8</v>
      </c>
      <c r="F734">
        <f t="shared" ca="1" si="33"/>
        <v>25</v>
      </c>
      <c r="G734" t="str">
        <f t="shared" ca="1" si="34"/>
        <v>2. 1-3yr</v>
      </c>
      <c r="H734">
        <f t="shared" si="35"/>
        <v>0</v>
      </c>
    </row>
    <row r="735" spans="1:8" x14ac:dyDescent="0.3">
      <c r="A735">
        <v>1563</v>
      </c>
      <c r="B735" t="s">
        <v>13</v>
      </c>
      <c r="C735" s="1">
        <v>46172</v>
      </c>
      <c r="D735" t="s">
        <v>7</v>
      </c>
      <c r="E735" t="s">
        <v>8</v>
      </c>
      <c r="F735">
        <f t="shared" ca="1" si="33"/>
        <v>2</v>
      </c>
      <c r="G735" t="str">
        <f t="shared" ca="1" si="34"/>
        <v>1. &lt;1yr</v>
      </c>
      <c r="H735">
        <f t="shared" si="35"/>
        <v>0</v>
      </c>
    </row>
    <row r="736" spans="1:8" x14ac:dyDescent="0.3">
      <c r="A736">
        <v>1576</v>
      </c>
      <c r="B736" t="s">
        <v>13</v>
      </c>
      <c r="C736" s="1">
        <v>44611</v>
      </c>
      <c r="D736" t="s">
        <v>7</v>
      </c>
      <c r="E736" t="s">
        <v>8</v>
      </c>
      <c r="F736">
        <f t="shared" ca="1" si="33"/>
        <v>53</v>
      </c>
      <c r="G736" t="str">
        <f t="shared" ca="1" si="34"/>
        <v>3. 3-5yr</v>
      </c>
      <c r="H736">
        <f t="shared" si="35"/>
        <v>0</v>
      </c>
    </row>
    <row r="737" spans="1:8" x14ac:dyDescent="0.3">
      <c r="A737">
        <v>1584</v>
      </c>
      <c r="B737" t="s">
        <v>13</v>
      </c>
      <c r="C737" s="1">
        <v>45652</v>
      </c>
      <c r="D737" t="s">
        <v>7</v>
      </c>
      <c r="E737" t="s">
        <v>8</v>
      </c>
      <c r="F737">
        <f t="shared" ca="1" si="33"/>
        <v>19</v>
      </c>
      <c r="G737" t="str">
        <f t="shared" ca="1" si="34"/>
        <v>2. 1-3yr</v>
      </c>
      <c r="H737">
        <f t="shared" si="35"/>
        <v>0</v>
      </c>
    </row>
    <row r="738" spans="1:8" x14ac:dyDescent="0.3">
      <c r="A738">
        <v>1597</v>
      </c>
      <c r="B738" t="s">
        <v>13</v>
      </c>
      <c r="C738" s="1">
        <v>45351</v>
      </c>
      <c r="D738" t="s">
        <v>7</v>
      </c>
      <c r="E738" t="s">
        <v>8</v>
      </c>
      <c r="F738">
        <f t="shared" ca="1" si="33"/>
        <v>29</v>
      </c>
      <c r="G738" t="str">
        <f t="shared" ca="1" si="34"/>
        <v>2. 1-3yr</v>
      </c>
      <c r="H738">
        <f t="shared" si="35"/>
        <v>0</v>
      </c>
    </row>
    <row r="739" spans="1:8" x14ac:dyDescent="0.3">
      <c r="A739">
        <v>1599</v>
      </c>
      <c r="B739" t="s">
        <v>13</v>
      </c>
      <c r="C739" s="1">
        <v>44682</v>
      </c>
      <c r="D739" t="s">
        <v>6</v>
      </c>
      <c r="E739" s="1">
        <v>45243</v>
      </c>
      <c r="F739">
        <f t="shared" ca="1" si="33"/>
        <v>18</v>
      </c>
      <c r="G739" t="str">
        <f t="shared" ca="1" si="34"/>
        <v>2. 1-3yr</v>
      </c>
      <c r="H739">
        <f t="shared" si="35"/>
        <v>1</v>
      </c>
    </row>
    <row r="740" spans="1:8" x14ac:dyDescent="0.3">
      <c r="A740">
        <v>1601</v>
      </c>
      <c r="B740" t="s">
        <v>13</v>
      </c>
      <c r="C740" s="1">
        <v>45024</v>
      </c>
      <c r="D740" t="s">
        <v>7</v>
      </c>
      <c r="E740" t="s">
        <v>8</v>
      </c>
      <c r="F740">
        <f t="shared" ca="1" si="33"/>
        <v>40</v>
      </c>
      <c r="G740" t="str">
        <f t="shared" ca="1" si="34"/>
        <v>3. 3-5yr</v>
      </c>
      <c r="H740">
        <f t="shared" si="35"/>
        <v>0</v>
      </c>
    </row>
    <row r="741" spans="1:8" x14ac:dyDescent="0.3">
      <c r="A741">
        <v>1606</v>
      </c>
      <c r="B741" t="s">
        <v>13</v>
      </c>
      <c r="C741" s="1">
        <v>45839</v>
      </c>
      <c r="D741" t="s">
        <v>7</v>
      </c>
      <c r="E741" t="s">
        <v>8</v>
      </c>
      <c r="F741">
        <f t="shared" ca="1" si="33"/>
        <v>13</v>
      </c>
      <c r="G741" t="str">
        <f t="shared" ca="1" si="34"/>
        <v>2. 1-3yr</v>
      </c>
      <c r="H741">
        <f t="shared" si="35"/>
        <v>0</v>
      </c>
    </row>
    <row r="742" spans="1:8" x14ac:dyDescent="0.3">
      <c r="A742">
        <v>1609</v>
      </c>
      <c r="B742" t="s">
        <v>13</v>
      </c>
      <c r="C742" s="1">
        <v>46113</v>
      </c>
      <c r="D742" t="s">
        <v>7</v>
      </c>
      <c r="E742" t="s">
        <v>8</v>
      </c>
      <c r="F742">
        <f t="shared" ca="1" si="33"/>
        <v>4</v>
      </c>
      <c r="G742" t="str">
        <f t="shared" ca="1" si="34"/>
        <v>1. &lt;1yr</v>
      </c>
      <c r="H742">
        <f t="shared" si="35"/>
        <v>0</v>
      </c>
    </row>
    <row r="743" spans="1:8" x14ac:dyDescent="0.3">
      <c r="A743">
        <v>1622</v>
      </c>
      <c r="B743" t="s">
        <v>13</v>
      </c>
      <c r="C743" s="1">
        <v>45597</v>
      </c>
      <c r="D743" t="s">
        <v>6</v>
      </c>
      <c r="E743" s="1">
        <v>45945</v>
      </c>
      <c r="F743">
        <f t="shared" ca="1" si="33"/>
        <v>11</v>
      </c>
      <c r="G743" t="str">
        <f t="shared" ca="1" si="34"/>
        <v>1. &lt;1yr</v>
      </c>
      <c r="H743">
        <f t="shared" si="35"/>
        <v>1</v>
      </c>
    </row>
    <row r="744" spans="1:8" x14ac:dyDescent="0.3">
      <c r="A744">
        <v>1624</v>
      </c>
      <c r="B744" t="s">
        <v>13</v>
      </c>
      <c r="C744" s="1">
        <v>45859</v>
      </c>
      <c r="D744" t="s">
        <v>6</v>
      </c>
      <c r="E744" s="1">
        <v>45889</v>
      </c>
      <c r="F744">
        <f t="shared" ca="1" si="33"/>
        <v>0</v>
      </c>
      <c r="G744" t="str">
        <f t="shared" ca="1" si="34"/>
        <v>1. &lt;1yr</v>
      </c>
      <c r="H744">
        <f t="shared" si="35"/>
        <v>1</v>
      </c>
    </row>
    <row r="745" spans="1:8" x14ac:dyDescent="0.3">
      <c r="A745">
        <v>1631</v>
      </c>
      <c r="B745" t="s">
        <v>13</v>
      </c>
      <c r="C745" s="1">
        <v>46111</v>
      </c>
      <c r="D745" t="s">
        <v>7</v>
      </c>
      <c r="E745" t="s">
        <v>8</v>
      </c>
      <c r="F745">
        <f t="shared" ca="1" si="33"/>
        <v>4</v>
      </c>
      <c r="G745" t="str">
        <f t="shared" ca="1" si="34"/>
        <v>1. &lt;1yr</v>
      </c>
      <c r="H745">
        <f t="shared" si="35"/>
        <v>0</v>
      </c>
    </row>
    <row r="746" spans="1:8" x14ac:dyDescent="0.3">
      <c r="A746">
        <v>1636</v>
      </c>
      <c r="B746" t="s">
        <v>13</v>
      </c>
      <c r="C746" s="1">
        <v>45712</v>
      </c>
      <c r="D746" t="s">
        <v>7</v>
      </c>
      <c r="E746" t="s">
        <v>8</v>
      </c>
      <c r="F746">
        <f t="shared" ca="1" si="33"/>
        <v>17</v>
      </c>
      <c r="G746" t="str">
        <f t="shared" ca="1" si="34"/>
        <v>2. 1-3yr</v>
      </c>
      <c r="H746">
        <f t="shared" si="35"/>
        <v>0</v>
      </c>
    </row>
    <row r="747" spans="1:8" x14ac:dyDescent="0.3">
      <c r="A747">
        <v>1641</v>
      </c>
      <c r="B747" t="s">
        <v>13</v>
      </c>
      <c r="C747" s="1">
        <v>45906</v>
      </c>
      <c r="D747" t="s">
        <v>7</v>
      </c>
      <c r="E747" t="s">
        <v>8</v>
      </c>
      <c r="F747">
        <f t="shared" ca="1" si="33"/>
        <v>11</v>
      </c>
      <c r="G747" t="str">
        <f t="shared" ca="1" si="34"/>
        <v>1. &lt;1yr</v>
      </c>
      <c r="H747">
        <f t="shared" si="35"/>
        <v>0</v>
      </c>
    </row>
    <row r="748" spans="1:8" x14ac:dyDescent="0.3">
      <c r="A748">
        <v>1658</v>
      </c>
      <c r="B748" t="s">
        <v>13</v>
      </c>
      <c r="C748" s="1">
        <v>46083</v>
      </c>
      <c r="D748" t="s">
        <v>6</v>
      </c>
      <c r="E748" s="1">
        <v>46113</v>
      </c>
      <c r="F748">
        <f t="shared" ca="1" si="33"/>
        <v>0</v>
      </c>
      <c r="G748" t="str">
        <f t="shared" ca="1" si="34"/>
        <v>1. &lt;1yr</v>
      </c>
      <c r="H748">
        <f t="shared" si="35"/>
        <v>1</v>
      </c>
    </row>
    <row r="749" spans="1:8" x14ac:dyDescent="0.3">
      <c r="A749">
        <v>1660</v>
      </c>
      <c r="B749" t="s">
        <v>13</v>
      </c>
      <c r="C749" s="1">
        <v>44163</v>
      </c>
      <c r="D749" t="s">
        <v>7</v>
      </c>
      <c r="E749" t="s">
        <v>8</v>
      </c>
      <c r="F749">
        <f t="shared" ca="1" si="33"/>
        <v>68</v>
      </c>
      <c r="G749" t="str">
        <f t="shared" ca="1" si="34"/>
        <v>4. 5+yr</v>
      </c>
      <c r="H749">
        <f t="shared" si="35"/>
        <v>0</v>
      </c>
    </row>
    <row r="750" spans="1:8" x14ac:dyDescent="0.3">
      <c r="A750">
        <v>1663</v>
      </c>
      <c r="B750" t="s">
        <v>13</v>
      </c>
      <c r="C750" s="1">
        <v>44628</v>
      </c>
      <c r="D750" t="s">
        <v>7</v>
      </c>
      <c r="E750" t="s">
        <v>8</v>
      </c>
      <c r="F750">
        <f t="shared" ca="1" si="33"/>
        <v>53</v>
      </c>
      <c r="G750" t="str">
        <f t="shared" ca="1" si="34"/>
        <v>3. 3-5yr</v>
      </c>
      <c r="H750">
        <f t="shared" si="35"/>
        <v>0</v>
      </c>
    </row>
    <row r="751" spans="1:8" x14ac:dyDescent="0.3">
      <c r="A751">
        <v>1666</v>
      </c>
      <c r="B751" t="s">
        <v>13</v>
      </c>
      <c r="C751" s="1">
        <v>45705</v>
      </c>
      <c r="D751" t="s">
        <v>6</v>
      </c>
      <c r="E751" s="1">
        <v>46086</v>
      </c>
      <c r="F751">
        <f t="shared" ca="1" si="33"/>
        <v>12</v>
      </c>
      <c r="G751" t="str">
        <f t="shared" ca="1" si="34"/>
        <v>2. 1-3yr</v>
      </c>
      <c r="H751">
        <f t="shared" si="35"/>
        <v>1</v>
      </c>
    </row>
    <row r="752" spans="1:8" x14ac:dyDescent="0.3">
      <c r="A752">
        <v>1696</v>
      </c>
      <c r="B752" t="s">
        <v>13</v>
      </c>
      <c r="C752" s="1">
        <v>46167</v>
      </c>
      <c r="D752" t="s">
        <v>7</v>
      </c>
      <c r="E752" t="s">
        <v>8</v>
      </c>
      <c r="F752">
        <f t="shared" ca="1" si="33"/>
        <v>2</v>
      </c>
      <c r="G752" t="str">
        <f t="shared" ca="1" si="34"/>
        <v>1. &lt;1yr</v>
      </c>
      <c r="H752">
        <f t="shared" si="35"/>
        <v>0</v>
      </c>
    </row>
    <row r="753" spans="1:8" x14ac:dyDescent="0.3">
      <c r="A753">
        <v>1701</v>
      </c>
      <c r="B753" t="s">
        <v>13</v>
      </c>
      <c r="C753" s="1">
        <v>45100</v>
      </c>
      <c r="D753" t="s">
        <v>6</v>
      </c>
      <c r="E753" s="1">
        <v>45465</v>
      </c>
      <c r="F753">
        <f t="shared" ca="1" si="33"/>
        <v>11</v>
      </c>
      <c r="G753" t="str">
        <f t="shared" ca="1" si="34"/>
        <v>1. &lt;1yr</v>
      </c>
      <c r="H753">
        <f t="shared" si="35"/>
        <v>1</v>
      </c>
    </row>
    <row r="754" spans="1:8" x14ac:dyDescent="0.3">
      <c r="A754">
        <v>1707</v>
      </c>
      <c r="B754" t="s">
        <v>13</v>
      </c>
      <c r="C754" s="1">
        <v>45651</v>
      </c>
      <c r="D754" t="s">
        <v>7</v>
      </c>
      <c r="E754" t="s">
        <v>8</v>
      </c>
      <c r="F754">
        <f t="shared" ca="1" si="33"/>
        <v>19</v>
      </c>
      <c r="G754" t="str">
        <f t="shared" ca="1" si="34"/>
        <v>2. 1-3yr</v>
      </c>
      <c r="H754">
        <f t="shared" si="35"/>
        <v>0</v>
      </c>
    </row>
    <row r="755" spans="1:8" x14ac:dyDescent="0.3">
      <c r="A755">
        <v>1760</v>
      </c>
      <c r="B755" t="s">
        <v>13</v>
      </c>
      <c r="C755" s="1">
        <v>45656</v>
      </c>
      <c r="D755" t="s">
        <v>7</v>
      </c>
      <c r="E755" t="s">
        <v>8</v>
      </c>
      <c r="F755">
        <f t="shared" ca="1" si="33"/>
        <v>19</v>
      </c>
      <c r="G755" t="str">
        <f t="shared" ca="1" si="34"/>
        <v>2. 1-3yr</v>
      </c>
      <c r="H755">
        <f t="shared" si="35"/>
        <v>0</v>
      </c>
    </row>
    <row r="756" spans="1:8" x14ac:dyDescent="0.3">
      <c r="A756">
        <v>1770</v>
      </c>
      <c r="B756" t="s">
        <v>13</v>
      </c>
      <c r="C756" s="1">
        <v>46092</v>
      </c>
      <c r="D756" t="s">
        <v>7</v>
      </c>
      <c r="E756" t="s">
        <v>8</v>
      </c>
      <c r="F756">
        <f t="shared" ca="1" si="33"/>
        <v>5</v>
      </c>
      <c r="G756" t="str">
        <f t="shared" ca="1" si="34"/>
        <v>1. &lt;1yr</v>
      </c>
      <c r="H756">
        <f t="shared" si="35"/>
        <v>0</v>
      </c>
    </row>
    <row r="757" spans="1:8" x14ac:dyDescent="0.3">
      <c r="A757">
        <v>1791</v>
      </c>
      <c r="B757" t="s">
        <v>13</v>
      </c>
      <c r="C757" s="1">
        <v>45390</v>
      </c>
      <c r="D757" t="s">
        <v>6</v>
      </c>
      <c r="E757" s="1">
        <v>46043</v>
      </c>
      <c r="F757">
        <f t="shared" ca="1" si="33"/>
        <v>21</v>
      </c>
      <c r="G757" t="str">
        <f t="shared" ca="1" si="34"/>
        <v>2. 1-3yr</v>
      </c>
      <c r="H757">
        <f t="shared" si="35"/>
        <v>1</v>
      </c>
    </row>
    <row r="758" spans="1:8" x14ac:dyDescent="0.3">
      <c r="A758">
        <v>1802</v>
      </c>
      <c r="B758" t="s">
        <v>13</v>
      </c>
      <c r="C758" s="1">
        <v>45480</v>
      </c>
      <c r="D758" t="s">
        <v>7</v>
      </c>
      <c r="E758" t="s">
        <v>8</v>
      </c>
      <c r="F758">
        <f t="shared" ca="1" si="33"/>
        <v>25</v>
      </c>
      <c r="G758" t="str">
        <f t="shared" ca="1" si="34"/>
        <v>2. 1-3yr</v>
      </c>
      <c r="H758">
        <f t="shared" si="35"/>
        <v>0</v>
      </c>
    </row>
    <row r="759" spans="1:8" x14ac:dyDescent="0.3">
      <c r="A759">
        <v>1804</v>
      </c>
      <c r="B759" t="s">
        <v>13</v>
      </c>
      <c r="C759" s="1">
        <v>45845</v>
      </c>
      <c r="D759" t="s">
        <v>7</v>
      </c>
      <c r="E759" t="s">
        <v>8</v>
      </c>
      <c r="F759">
        <f t="shared" ca="1" si="33"/>
        <v>13</v>
      </c>
      <c r="G759" t="str">
        <f t="shared" ca="1" si="34"/>
        <v>2. 1-3yr</v>
      </c>
      <c r="H759">
        <f t="shared" si="35"/>
        <v>0</v>
      </c>
    </row>
    <row r="760" spans="1:8" x14ac:dyDescent="0.3">
      <c r="A760">
        <v>1814</v>
      </c>
      <c r="B760" t="s">
        <v>13</v>
      </c>
      <c r="C760" s="1">
        <v>44655</v>
      </c>
      <c r="D760" t="s">
        <v>7</v>
      </c>
      <c r="E760" t="s">
        <v>8</v>
      </c>
      <c r="F760">
        <f t="shared" ca="1" si="33"/>
        <v>52</v>
      </c>
      <c r="G760" t="str">
        <f t="shared" ca="1" si="34"/>
        <v>3. 3-5yr</v>
      </c>
      <c r="H760">
        <f t="shared" si="35"/>
        <v>0</v>
      </c>
    </row>
    <row r="761" spans="1:8" x14ac:dyDescent="0.3">
      <c r="A761">
        <v>1815</v>
      </c>
      <c r="B761" t="s">
        <v>13</v>
      </c>
      <c r="C761" s="1">
        <v>45580</v>
      </c>
      <c r="D761" t="s">
        <v>7</v>
      </c>
      <c r="E761" t="s">
        <v>8</v>
      </c>
      <c r="F761">
        <f t="shared" ca="1" si="33"/>
        <v>22</v>
      </c>
      <c r="G761" t="str">
        <f t="shared" ca="1" si="34"/>
        <v>2. 1-3yr</v>
      </c>
      <c r="H761">
        <f t="shared" si="35"/>
        <v>0</v>
      </c>
    </row>
    <row r="762" spans="1:8" x14ac:dyDescent="0.3">
      <c r="A762">
        <v>1817</v>
      </c>
      <c r="B762" t="s">
        <v>13</v>
      </c>
      <c r="C762" s="1">
        <v>45702</v>
      </c>
      <c r="D762" t="s">
        <v>7</v>
      </c>
      <c r="E762" t="s">
        <v>8</v>
      </c>
      <c r="F762">
        <f t="shared" ca="1" si="33"/>
        <v>18</v>
      </c>
      <c r="G762" t="str">
        <f t="shared" ca="1" si="34"/>
        <v>2. 1-3yr</v>
      </c>
      <c r="H762">
        <f t="shared" si="35"/>
        <v>0</v>
      </c>
    </row>
    <row r="763" spans="1:8" x14ac:dyDescent="0.3">
      <c r="A763">
        <v>1834</v>
      </c>
      <c r="B763" t="s">
        <v>13</v>
      </c>
      <c r="C763" s="1">
        <v>45995</v>
      </c>
      <c r="D763" t="s">
        <v>7</v>
      </c>
      <c r="E763" t="s">
        <v>8</v>
      </c>
      <c r="F763">
        <f t="shared" ca="1" si="33"/>
        <v>8</v>
      </c>
      <c r="G763" t="str">
        <f t="shared" ca="1" si="34"/>
        <v>1. &lt;1yr</v>
      </c>
      <c r="H763">
        <f t="shared" si="35"/>
        <v>0</v>
      </c>
    </row>
    <row r="764" spans="1:8" x14ac:dyDescent="0.3">
      <c r="A764">
        <v>1840</v>
      </c>
      <c r="B764" t="s">
        <v>13</v>
      </c>
      <c r="C764" s="1">
        <v>45126</v>
      </c>
      <c r="D764" t="s">
        <v>7</v>
      </c>
      <c r="E764" t="s">
        <v>8</v>
      </c>
      <c r="F764">
        <f t="shared" ca="1" si="33"/>
        <v>36</v>
      </c>
      <c r="G764" t="str">
        <f t="shared" ca="1" si="34"/>
        <v>3. 3-5yr</v>
      </c>
      <c r="H764">
        <f t="shared" si="35"/>
        <v>0</v>
      </c>
    </row>
    <row r="765" spans="1:8" x14ac:dyDescent="0.3">
      <c r="A765">
        <v>1844</v>
      </c>
      <c r="B765" t="s">
        <v>13</v>
      </c>
      <c r="C765" s="1">
        <v>45594</v>
      </c>
      <c r="D765" t="s">
        <v>7</v>
      </c>
      <c r="E765" t="s">
        <v>8</v>
      </c>
      <c r="F765">
        <f t="shared" ca="1" si="33"/>
        <v>21</v>
      </c>
      <c r="G765" t="str">
        <f t="shared" ca="1" si="34"/>
        <v>2. 1-3yr</v>
      </c>
      <c r="H765">
        <f t="shared" si="35"/>
        <v>0</v>
      </c>
    </row>
    <row r="766" spans="1:8" x14ac:dyDescent="0.3">
      <c r="A766">
        <v>1846</v>
      </c>
      <c r="B766" t="s">
        <v>13</v>
      </c>
      <c r="C766" s="1">
        <v>45409</v>
      </c>
      <c r="D766" t="s">
        <v>7</v>
      </c>
      <c r="E766" t="s">
        <v>8</v>
      </c>
      <c r="F766">
        <f t="shared" ca="1" si="33"/>
        <v>27</v>
      </c>
      <c r="G766" t="str">
        <f t="shared" ca="1" si="34"/>
        <v>2. 1-3yr</v>
      </c>
      <c r="H766">
        <f t="shared" si="35"/>
        <v>0</v>
      </c>
    </row>
    <row r="767" spans="1:8" x14ac:dyDescent="0.3">
      <c r="A767">
        <v>1854</v>
      </c>
      <c r="B767" t="s">
        <v>13</v>
      </c>
      <c r="C767" s="1">
        <v>44750</v>
      </c>
      <c r="D767" t="s">
        <v>6</v>
      </c>
      <c r="E767" s="1">
        <v>45286</v>
      </c>
      <c r="F767">
        <f t="shared" ca="1" si="33"/>
        <v>17</v>
      </c>
      <c r="G767" t="str">
        <f t="shared" ca="1" si="34"/>
        <v>2. 1-3yr</v>
      </c>
      <c r="H767">
        <f t="shared" si="35"/>
        <v>1</v>
      </c>
    </row>
    <row r="768" spans="1:8" x14ac:dyDescent="0.3">
      <c r="A768">
        <v>1861</v>
      </c>
      <c r="B768" t="s">
        <v>13</v>
      </c>
      <c r="C768" s="1">
        <v>45128</v>
      </c>
      <c r="D768" t="s">
        <v>7</v>
      </c>
      <c r="E768" t="s">
        <v>8</v>
      </c>
      <c r="F768">
        <f t="shared" ca="1" si="33"/>
        <v>36</v>
      </c>
      <c r="G768" t="str">
        <f t="shared" ca="1" si="34"/>
        <v>3. 3-5yr</v>
      </c>
      <c r="H768">
        <f t="shared" si="35"/>
        <v>0</v>
      </c>
    </row>
    <row r="769" spans="1:8" x14ac:dyDescent="0.3">
      <c r="A769">
        <v>1006</v>
      </c>
      <c r="B769" t="s">
        <v>14</v>
      </c>
      <c r="C769" s="1">
        <v>45993</v>
      </c>
      <c r="D769" t="s">
        <v>7</v>
      </c>
      <c r="E769" t="s">
        <v>8</v>
      </c>
      <c r="F769">
        <f t="shared" ca="1" si="33"/>
        <v>8</v>
      </c>
      <c r="G769" t="str">
        <f t="shared" ca="1" si="34"/>
        <v>1. &lt;1yr</v>
      </c>
      <c r="H769">
        <f t="shared" si="35"/>
        <v>0</v>
      </c>
    </row>
    <row r="770" spans="1:8" x14ac:dyDescent="0.3">
      <c r="A770">
        <v>1007</v>
      </c>
      <c r="B770" t="s">
        <v>14</v>
      </c>
      <c r="C770" s="1">
        <v>44896</v>
      </c>
      <c r="D770" t="s">
        <v>7</v>
      </c>
      <c r="E770" t="s">
        <v>8</v>
      </c>
      <c r="F770">
        <f t="shared" ca="1" si="33"/>
        <v>44</v>
      </c>
      <c r="G770" t="str">
        <f t="shared" ca="1" si="34"/>
        <v>3. 3-5yr</v>
      </c>
      <c r="H770">
        <f t="shared" si="35"/>
        <v>0</v>
      </c>
    </row>
    <row r="771" spans="1:8" x14ac:dyDescent="0.3">
      <c r="A771">
        <v>1033</v>
      </c>
      <c r="B771" t="s">
        <v>14</v>
      </c>
      <c r="C771" s="1">
        <v>45639</v>
      </c>
      <c r="D771" t="s">
        <v>7</v>
      </c>
      <c r="E771" t="s">
        <v>8</v>
      </c>
      <c r="F771">
        <f t="shared" ref="F771:F834" ca="1" si="36">DATEDIF(C771, IF(OR(E771="",E771="NULL"), TODAY(), E771), "m")</f>
        <v>20</v>
      </c>
      <c r="G771" t="str">
        <f t="shared" ref="G771:G834" ca="1" si="37">IF(F771&lt;12,"1. &lt;1yr",IF(F771&lt;36,"2. 1-3yr",IF(F771&lt;60,"3. 3-5yr","4. 5+yr")))</f>
        <v>2. 1-3yr</v>
      </c>
      <c r="H771">
        <f t="shared" ref="H771:H834" si="38">IF(D771="Yes",1,0)</f>
        <v>0</v>
      </c>
    </row>
    <row r="772" spans="1:8" x14ac:dyDescent="0.3">
      <c r="A772">
        <v>1054</v>
      </c>
      <c r="B772" t="s">
        <v>14</v>
      </c>
      <c r="C772" s="1">
        <v>45681</v>
      </c>
      <c r="D772" t="s">
        <v>7</v>
      </c>
      <c r="E772" t="s">
        <v>8</v>
      </c>
      <c r="F772">
        <f t="shared" ca="1" si="36"/>
        <v>18</v>
      </c>
      <c r="G772" t="str">
        <f t="shared" ca="1" si="37"/>
        <v>2. 1-3yr</v>
      </c>
      <c r="H772">
        <f t="shared" si="38"/>
        <v>0</v>
      </c>
    </row>
    <row r="773" spans="1:8" x14ac:dyDescent="0.3">
      <c r="A773">
        <v>1113</v>
      </c>
      <c r="B773" t="s">
        <v>14</v>
      </c>
      <c r="C773" s="1">
        <v>45453</v>
      </c>
      <c r="D773" t="s">
        <v>7</v>
      </c>
      <c r="E773" t="s">
        <v>8</v>
      </c>
      <c r="F773">
        <f t="shared" ca="1" si="36"/>
        <v>26</v>
      </c>
      <c r="G773" t="str">
        <f t="shared" ca="1" si="37"/>
        <v>2. 1-3yr</v>
      </c>
      <c r="H773">
        <f t="shared" si="38"/>
        <v>0</v>
      </c>
    </row>
    <row r="774" spans="1:8" x14ac:dyDescent="0.3">
      <c r="A774">
        <v>1143</v>
      </c>
      <c r="B774" t="s">
        <v>14</v>
      </c>
      <c r="C774" s="1">
        <v>45292</v>
      </c>
      <c r="D774" t="s">
        <v>7</v>
      </c>
      <c r="E774" t="s">
        <v>8</v>
      </c>
      <c r="F774">
        <f t="shared" ca="1" si="36"/>
        <v>31</v>
      </c>
      <c r="G774" t="str">
        <f t="shared" ca="1" si="37"/>
        <v>2. 1-3yr</v>
      </c>
      <c r="H774">
        <f t="shared" si="38"/>
        <v>0</v>
      </c>
    </row>
    <row r="775" spans="1:8" x14ac:dyDescent="0.3">
      <c r="A775">
        <v>1165</v>
      </c>
      <c r="B775" t="s">
        <v>14</v>
      </c>
      <c r="C775" s="1">
        <v>44433</v>
      </c>
      <c r="D775" t="s">
        <v>6</v>
      </c>
      <c r="E775" s="1">
        <v>45269</v>
      </c>
      <c r="F775">
        <f t="shared" ca="1" si="36"/>
        <v>27</v>
      </c>
      <c r="G775" t="str">
        <f t="shared" ca="1" si="37"/>
        <v>2. 1-3yr</v>
      </c>
      <c r="H775">
        <f t="shared" si="38"/>
        <v>1</v>
      </c>
    </row>
    <row r="776" spans="1:8" x14ac:dyDescent="0.3">
      <c r="A776">
        <v>1171</v>
      </c>
      <c r="B776" t="s">
        <v>14</v>
      </c>
      <c r="C776" s="1">
        <v>45501</v>
      </c>
      <c r="D776" t="s">
        <v>6</v>
      </c>
      <c r="E776" s="1">
        <v>45673</v>
      </c>
      <c r="F776">
        <f t="shared" ca="1" si="36"/>
        <v>5</v>
      </c>
      <c r="G776" t="str">
        <f t="shared" ca="1" si="37"/>
        <v>1. &lt;1yr</v>
      </c>
      <c r="H776">
        <f t="shared" si="38"/>
        <v>1</v>
      </c>
    </row>
    <row r="777" spans="1:8" x14ac:dyDescent="0.3">
      <c r="A777">
        <v>1213</v>
      </c>
      <c r="B777" t="s">
        <v>14</v>
      </c>
      <c r="C777" s="1">
        <v>45478</v>
      </c>
      <c r="D777" t="s">
        <v>7</v>
      </c>
      <c r="E777" t="s">
        <v>8</v>
      </c>
      <c r="F777">
        <f t="shared" ca="1" si="36"/>
        <v>25</v>
      </c>
      <c r="G777" t="str">
        <f t="shared" ca="1" si="37"/>
        <v>2. 1-3yr</v>
      </c>
      <c r="H777">
        <f t="shared" si="38"/>
        <v>0</v>
      </c>
    </row>
    <row r="778" spans="1:8" x14ac:dyDescent="0.3">
      <c r="A778">
        <v>1219</v>
      </c>
      <c r="B778" t="s">
        <v>14</v>
      </c>
      <c r="C778" s="1">
        <v>44726</v>
      </c>
      <c r="D778" t="s">
        <v>7</v>
      </c>
      <c r="E778" t="s">
        <v>8</v>
      </c>
      <c r="F778">
        <f t="shared" ca="1" si="36"/>
        <v>50</v>
      </c>
      <c r="G778" t="str">
        <f t="shared" ca="1" si="37"/>
        <v>3. 3-5yr</v>
      </c>
      <c r="H778">
        <f t="shared" si="38"/>
        <v>0</v>
      </c>
    </row>
    <row r="779" spans="1:8" x14ac:dyDescent="0.3">
      <c r="A779">
        <v>1235</v>
      </c>
      <c r="B779" t="s">
        <v>14</v>
      </c>
      <c r="C779" s="1">
        <v>45167</v>
      </c>
      <c r="D779" t="s">
        <v>7</v>
      </c>
      <c r="E779" t="s">
        <v>8</v>
      </c>
      <c r="F779">
        <f t="shared" ca="1" si="36"/>
        <v>35</v>
      </c>
      <c r="G779" t="str">
        <f t="shared" ca="1" si="37"/>
        <v>2. 1-3yr</v>
      </c>
      <c r="H779">
        <f t="shared" si="38"/>
        <v>0</v>
      </c>
    </row>
    <row r="780" spans="1:8" x14ac:dyDescent="0.3">
      <c r="A780">
        <v>1237</v>
      </c>
      <c r="B780" t="s">
        <v>14</v>
      </c>
      <c r="C780" s="1">
        <v>45998</v>
      </c>
      <c r="D780" t="s">
        <v>7</v>
      </c>
      <c r="E780" t="s">
        <v>8</v>
      </c>
      <c r="F780">
        <f t="shared" ca="1" si="36"/>
        <v>8</v>
      </c>
      <c r="G780" t="str">
        <f t="shared" ca="1" si="37"/>
        <v>1. &lt;1yr</v>
      </c>
      <c r="H780">
        <f t="shared" si="38"/>
        <v>0</v>
      </c>
    </row>
    <row r="781" spans="1:8" x14ac:dyDescent="0.3">
      <c r="A781">
        <v>1253</v>
      </c>
      <c r="B781" t="s">
        <v>14</v>
      </c>
      <c r="C781" s="1">
        <v>46081</v>
      </c>
      <c r="D781" t="s">
        <v>7</v>
      </c>
      <c r="E781" t="s">
        <v>8</v>
      </c>
      <c r="F781">
        <f t="shared" ca="1" si="36"/>
        <v>5</v>
      </c>
      <c r="G781" t="str">
        <f t="shared" ca="1" si="37"/>
        <v>1. &lt;1yr</v>
      </c>
      <c r="H781">
        <f t="shared" si="38"/>
        <v>0</v>
      </c>
    </row>
    <row r="782" spans="1:8" x14ac:dyDescent="0.3">
      <c r="A782">
        <v>1263</v>
      </c>
      <c r="B782" t="s">
        <v>14</v>
      </c>
      <c r="C782" s="1">
        <v>44929</v>
      </c>
      <c r="D782" t="s">
        <v>7</v>
      </c>
      <c r="E782" t="s">
        <v>8</v>
      </c>
      <c r="F782">
        <f t="shared" ca="1" si="36"/>
        <v>43</v>
      </c>
      <c r="G782" t="str">
        <f t="shared" ca="1" si="37"/>
        <v>3. 3-5yr</v>
      </c>
      <c r="H782">
        <f t="shared" si="38"/>
        <v>0</v>
      </c>
    </row>
    <row r="783" spans="1:8" x14ac:dyDescent="0.3">
      <c r="A783">
        <v>1269</v>
      </c>
      <c r="B783" t="s">
        <v>14</v>
      </c>
      <c r="C783" s="1">
        <v>45040</v>
      </c>
      <c r="D783" t="s">
        <v>7</v>
      </c>
      <c r="E783" t="s">
        <v>8</v>
      </c>
      <c r="F783">
        <f t="shared" ca="1" si="36"/>
        <v>39</v>
      </c>
      <c r="G783" t="str">
        <f t="shared" ca="1" si="37"/>
        <v>3. 3-5yr</v>
      </c>
      <c r="H783">
        <f t="shared" si="38"/>
        <v>0</v>
      </c>
    </row>
    <row r="784" spans="1:8" x14ac:dyDescent="0.3">
      <c r="A784">
        <v>1296</v>
      </c>
      <c r="B784" t="s">
        <v>14</v>
      </c>
      <c r="C784" s="1">
        <v>45460</v>
      </c>
      <c r="D784" t="s">
        <v>7</v>
      </c>
      <c r="E784" t="s">
        <v>8</v>
      </c>
      <c r="F784">
        <f t="shared" ca="1" si="36"/>
        <v>26</v>
      </c>
      <c r="G784" t="str">
        <f t="shared" ca="1" si="37"/>
        <v>2. 1-3yr</v>
      </c>
      <c r="H784">
        <f t="shared" si="38"/>
        <v>0</v>
      </c>
    </row>
    <row r="785" spans="1:8" x14ac:dyDescent="0.3">
      <c r="A785">
        <v>1306</v>
      </c>
      <c r="B785" t="s">
        <v>14</v>
      </c>
      <c r="C785" s="1">
        <v>45657</v>
      </c>
      <c r="D785" t="s">
        <v>6</v>
      </c>
      <c r="E785" s="1">
        <v>45933</v>
      </c>
      <c r="F785">
        <f t="shared" ca="1" si="36"/>
        <v>9</v>
      </c>
      <c r="G785" t="str">
        <f t="shared" ca="1" si="37"/>
        <v>1. &lt;1yr</v>
      </c>
      <c r="H785">
        <f t="shared" si="38"/>
        <v>1</v>
      </c>
    </row>
    <row r="786" spans="1:8" x14ac:dyDescent="0.3">
      <c r="A786">
        <v>1311</v>
      </c>
      <c r="B786" t="s">
        <v>14</v>
      </c>
      <c r="C786" s="1">
        <v>45338</v>
      </c>
      <c r="D786" t="s">
        <v>7</v>
      </c>
      <c r="E786" t="s">
        <v>8</v>
      </c>
      <c r="F786">
        <f t="shared" ca="1" si="36"/>
        <v>30</v>
      </c>
      <c r="G786" t="str">
        <f t="shared" ca="1" si="37"/>
        <v>2. 1-3yr</v>
      </c>
      <c r="H786">
        <f t="shared" si="38"/>
        <v>0</v>
      </c>
    </row>
    <row r="787" spans="1:8" x14ac:dyDescent="0.3">
      <c r="A787">
        <v>1341</v>
      </c>
      <c r="B787" t="s">
        <v>14</v>
      </c>
      <c r="C787" s="1">
        <v>45941</v>
      </c>
      <c r="D787" t="s">
        <v>6</v>
      </c>
      <c r="E787" s="1">
        <v>45971</v>
      </c>
      <c r="F787">
        <f t="shared" ca="1" si="36"/>
        <v>0</v>
      </c>
      <c r="G787" t="str">
        <f t="shared" ca="1" si="37"/>
        <v>1. &lt;1yr</v>
      </c>
      <c r="H787">
        <f t="shared" si="38"/>
        <v>1</v>
      </c>
    </row>
    <row r="788" spans="1:8" x14ac:dyDescent="0.3">
      <c r="A788">
        <v>1347</v>
      </c>
      <c r="B788" t="s">
        <v>14</v>
      </c>
      <c r="C788" s="1">
        <v>45862</v>
      </c>
      <c r="D788" t="s">
        <v>6</v>
      </c>
      <c r="E788" s="1">
        <v>45892</v>
      </c>
      <c r="F788">
        <f t="shared" ca="1" si="36"/>
        <v>0</v>
      </c>
      <c r="G788" t="str">
        <f t="shared" ca="1" si="37"/>
        <v>1. &lt;1yr</v>
      </c>
      <c r="H788">
        <f t="shared" si="38"/>
        <v>1</v>
      </c>
    </row>
    <row r="789" spans="1:8" x14ac:dyDescent="0.3">
      <c r="A789">
        <v>1350</v>
      </c>
      <c r="B789" t="s">
        <v>14</v>
      </c>
      <c r="C789" s="1">
        <v>45703</v>
      </c>
      <c r="D789" t="s">
        <v>7</v>
      </c>
      <c r="E789" t="s">
        <v>8</v>
      </c>
      <c r="F789">
        <f t="shared" ca="1" si="36"/>
        <v>18</v>
      </c>
      <c r="G789" t="str">
        <f t="shared" ca="1" si="37"/>
        <v>2. 1-3yr</v>
      </c>
      <c r="H789">
        <f t="shared" si="38"/>
        <v>0</v>
      </c>
    </row>
    <row r="790" spans="1:8" x14ac:dyDescent="0.3">
      <c r="A790">
        <v>1364</v>
      </c>
      <c r="B790" t="s">
        <v>14</v>
      </c>
      <c r="C790" s="1">
        <v>45074</v>
      </c>
      <c r="D790" t="s">
        <v>7</v>
      </c>
      <c r="E790" t="s">
        <v>8</v>
      </c>
      <c r="F790">
        <f t="shared" ca="1" si="36"/>
        <v>38</v>
      </c>
      <c r="G790" t="str">
        <f t="shared" ca="1" si="37"/>
        <v>3. 3-5yr</v>
      </c>
      <c r="H790">
        <f t="shared" si="38"/>
        <v>0</v>
      </c>
    </row>
    <row r="791" spans="1:8" x14ac:dyDescent="0.3">
      <c r="A791">
        <v>1379</v>
      </c>
      <c r="B791" t="s">
        <v>14</v>
      </c>
      <c r="C791" s="1">
        <v>45477</v>
      </c>
      <c r="D791" t="s">
        <v>7</v>
      </c>
      <c r="E791" t="s">
        <v>8</v>
      </c>
      <c r="F791">
        <f t="shared" ca="1" si="36"/>
        <v>25</v>
      </c>
      <c r="G791" t="str">
        <f t="shared" ca="1" si="37"/>
        <v>2. 1-3yr</v>
      </c>
      <c r="H791">
        <f t="shared" si="38"/>
        <v>0</v>
      </c>
    </row>
    <row r="792" spans="1:8" x14ac:dyDescent="0.3">
      <c r="A792">
        <v>1383</v>
      </c>
      <c r="B792" t="s">
        <v>14</v>
      </c>
      <c r="C792" s="1">
        <v>46113</v>
      </c>
      <c r="D792" t="s">
        <v>7</v>
      </c>
      <c r="E792" t="s">
        <v>8</v>
      </c>
      <c r="F792">
        <f t="shared" ca="1" si="36"/>
        <v>4</v>
      </c>
      <c r="G792" t="str">
        <f t="shared" ca="1" si="37"/>
        <v>1. &lt;1yr</v>
      </c>
      <c r="H792">
        <f t="shared" si="38"/>
        <v>0</v>
      </c>
    </row>
    <row r="793" spans="1:8" x14ac:dyDescent="0.3">
      <c r="A793">
        <v>1392</v>
      </c>
      <c r="B793" t="s">
        <v>14</v>
      </c>
      <c r="C793" s="1">
        <v>45551</v>
      </c>
      <c r="D793" t="s">
        <v>7</v>
      </c>
      <c r="E793" t="s">
        <v>8</v>
      </c>
      <c r="F793">
        <f t="shared" ca="1" si="36"/>
        <v>23</v>
      </c>
      <c r="G793" t="str">
        <f t="shared" ca="1" si="37"/>
        <v>2. 1-3yr</v>
      </c>
      <c r="H793">
        <f t="shared" si="38"/>
        <v>0</v>
      </c>
    </row>
    <row r="794" spans="1:8" x14ac:dyDescent="0.3">
      <c r="A794">
        <v>1413</v>
      </c>
      <c r="B794" t="s">
        <v>14</v>
      </c>
      <c r="C794" s="1">
        <v>46136</v>
      </c>
      <c r="D794" t="s">
        <v>6</v>
      </c>
      <c r="E794" s="1">
        <v>46166</v>
      </c>
      <c r="F794">
        <f t="shared" ca="1" si="36"/>
        <v>1</v>
      </c>
      <c r="G794" t="str">
        <f t="shared" ca="1" si="37"/>
        <v>1. &lt;1yr</v>
      </c>
      <c r="H794">
        <f t="shared" si="38"/>
        <v>1</v>
      </c>
    </row>
    <row r="795" spans="1:8" x14ac:dyDescent="0.3">
      <c r="A795">
        <v>1417</v>
      </c>
      <c r="B795" t="s">
        <v>14</v>
      </c>
      <c r="C795" s="1">
        <v>45487</v>
      </c>
      <c r="D795" t="s">
        <v>7</v>
      </c>
      <c r="E795" t="s">
        <v>8</v>
      </c>
      <c r="F795">
        <f t="shared" ca="1" si="36"/>
        <v>25</v>
      </c>
      <c r="G795" t="str">
        <f t="shared" ca="1" si="37"/>
        <v>2. 1-3yr</v>
      </c>
      <c r="H795">
        <f t="shared" si="38"/>
        <v>0</v>
      </c>
    </row>
    <row r="796" spans="1:8" x14ac:dyDescent="0.3">
      <c r="A796">
        <v>1423</v>
      </c>
      <c r="B796" t="s">
        <v>14</v>
      </c>
      <c r="C796" s="1">
        <v>44521</v>
      </c>
      <c r="D796" t="s">
        <v>7</v>
      </c>
      <c r="E796" t="s">
        <v>8</v>
      </c>
      <c r="F796">
        <f t="shared" ca="1" si="36"/>
        <v>56</v>
      </c>
      <c r="G796" t="str">
        <f t="shared" ca="1" si="37"/>
        <v>3. 3-5yr</v>
      </c>
      <c r="H796">
        <f t="shared" si="38"/>
        <v>0</v>
      </c>
    </row>
    <row r="797" spans="1:8" x14ac:dyDescent="0.3">
      <c r="A797">
        <v>1425</v>
      </c>
      <c r="B797" t="s">
        <v>14</v>
      </c>
      <c r="C797" s="1">
        <v>45386</v>
      </c>
      <c r="D797" t="s">
        <v>7</v>
      </c>
      <c r="E797" t="s">
        <v>8</v>
      </c>
      <c r="F797">
        <f t="shared" ca="1" si="36"/>
        <v>28</v>
      </c>
      <c r="G797" t="str">
        <f t="shared" ca="1" si="37"/>
        <v>2. 1-3yr</v>
      </c>
      <c r="H797">
        <f t="shared" si="38"/>
        <v>0</v>
      </c>
    </row>
    <row r="798" spans="1:8" x14ac:dyDescent="0.3">
      <c r="A798">
        <v>1440</v>
      </c>
      <c r="B798" t="s">
        <v>14</v>
      </c>
      <c r="C798" s="1">
        <v>46037</v>
      </c>
      <c r="D798" t="s">
        <v>7</v>
      </c>
      <c r="E798" t="s">
        <v>8</v>
      </c>
      <c r="F798">
        <f t="shared" ca="1" si="36"/>
        <v>7</v>
      </c>
      <c r="G798" t="str">
        <f t="shared" ca="1" si="37"/>
        <v>1. &lt;1yr</v>
      </c>
      <c r="H798">
        <f t="shared" si="38"/>
        <v>0</v>
      </c>
    </row>
    <row r="799" spans="1:8" x14ac:dyDescent="0.3">
      <c r="A799">
        <v>1454</v>
      </c>
      <c r="B799" t="s">
        <v>14</v>
      </c>
      <c r="C799" s="1">
        <v>46188</v>
      </c>
      <c r="D799" t="s">
        <v>7</v>
      </c>
      <c r="E799" t="s">
        <v>8</v>
      </c>
      <c r="F799">
        <f t="shared" ca="1" si="36"/>
        <v>2</v>
      </c>
      <c r="G799" t="str">
        <f t="shared" ca="1" si="37"/>
        <v>1. &lt;1yr</v>
      </c>
      <c r="H799">
        <f t="shared" si="38"/>
        <v>0</v>
      </c>
    </row>
    <row r="800" spans="1:8" x14ac:dyDescent="0.3">
      <c r="A800">
        <v>1455</v>
      </c>
      <c r="B800" t="s">
        <v>14</v>
      </c>
      <c r="C800" s="1">
        <v>45768</v>
      </c>
      <c r="D800" t="s">
        <v>7</v>
      </c>
      <c r="E800" t="s">
        <v>8</v>
      </c>
      <c r="F800">
        <f t="shared" ca="1" si="36"/>
        <v>15</v>
      </c>
      <c r="G800" t="str">
        <f t="shared" ca="1" si="37"/>
        <v>2. 1-3yr</v>
      </c>
      <c r="H800">
        <f t="shared" si="38"/>
        <v>0</v>
      </c>
    </row>
    <row r="801" spans="1:8" x14ac:dyDescent="0.3">
      <c r="A801">
        <v>1484</v>
      </c>
      <c r="B801" t="s">
        <v>14</v>
      </c>
      <c r="C801" s="1">
        <v>45699</v>
      </c>
      <c r="D801" t="s">
        <v>6</v>
      </c>
      <c r="E801" s="1">
        <v>45959</v>
      </c>
      <c r="F801">
        <f t="shared" ca="1" si="36"/>
        <v>8</v>
      </c>
      <c r="G801" t="str">
        <f t="shared" ca="1" si="37"/>
        <v>1. &lt;1yr</v>
      </c>
      <c r="H801">
        <f t="shared" si="38"/>
        <v>1</v>
      </c>
    </row>
    <row r="802" spans="1:8" x14ac:dyDescent="0.3">
      <c r="A802">
        <v>1497</v>
      </c>
      <c r="B802" t="s">
        <v>14</v>
      </c>
      <c r="C802" s="1">
        <v>46173</v>
      </c>
      <c r="D802" t="s">
        <v>6</v>
      </c>
      <c r="E802" s="1">
        <v>46203</v>
      </c>
      <c r="F802">
        <f t="shared" ca="1" si="36"/>
        <v>0</v>
      </c>
      <c r="G802" t="str">
        <f t="shared" ca="1" si="37"/>
        <v>1. &lt;1yr</v>
      </c>
      <c r="H802">
        <f t="shared" si="38"/>
        <v>1</v>
      </c>
    </row>
    <row r="803" spans="1:8" x14ac:dyDescent="0.3">
      <c r="A803">
        <v>1498</v>
      </c>
      <c r="B803" t="s">
        <v>14</v>
      </c>
      <c r="C803" s="1">
        <v>45380</v>
      </c>
      <c r="D803" t="s">
        <v>7</v>
      </c>
      <c r="E803" t="s">
        <v>8</v>
      </c>
      <c r="F803">
        <f t="shared" ca="1" si="36"/>
        <v>28</v>
      </c>
      <c r="G803" t="str">
        <f t="shared" ca="1" si="37"/>
        <v>2. 1-3yr</v>
      </c>
      <c r="H803">
        <f t="shared" si="38"/>
        <v>0</v>
      </c>
    </row>
    <row r="804" spans="1:8" x14ac:dyDescent="0.3">
      <c r="A804">
        <v>1516</v>
      </c>
      <c r="B804" t="s">
        <v>14</v>
      </c>
      <c r="C804" s="1">
        <v>45723</v>
      </c>
      <c r="D804" t="s">
        <v>7</v>
      </c>
      <c r="E804" t="s">
        <v>8</v>
      </c>
      <c r="F804">
        <f t="shared" ca="1" si="36"/>
        <v>17</v>
      </c>
      <c r="G804" t="str">
        <f t="shared" ca="1" si="37"/>
        <v>2. 1-3yr</v>
      </c>
      <c r="H804">
        <f t="shared" si="38"/>
        <v>0</v>
      </c>
    </row>
    <row r="805" spans="1:8" x14ac:dyDescent="0.3">
      <c r="A805">
        <v>1529</v>
      </c>
      <c r="B805" t="s">
        <v>14</v>
      </c>
      <c r="C805" s="1">
        <v>44937</v>
      </c>
      <c r="D805" t="s">
        <v>6</v>
      </c>
      <c r="E805" s="1">
        <v>45873</v>
      </c>
      <c r="F805">
        <f t="shared" ca="1" si="36"/>
        <v>30</v>
      </c>
      <c r="G805" t="str">
        <f t="shared" ca="1" si="37"/>
        <v>2. 1-3yr</v>
      </c>
      <c r="H805">
        <f t="shared" si="38"/>
        <v>1</v>
      </c>
    </row>
    <row r="806" spans="1:8" x14ac:dyDescent="0.3">
      <c r="A806">
        <v>1587</v>
      </c>
      <c r="B806" t="s">
        <v>14</v>
      </c>
      <c r="C806" s="1">
        <v>45959</v>
      </c>
      <c r="D806" t="s">
        <v>7</v>
      </c>
      <c r="E806" t="s">
        <v>8</v>
      </c>
      <c r="F806">
        <f t="shared" ca="1" si="36"/>
        <v>9</v>
      </c>
      <c r="G806" t="str">
        <f t="shared" ca="1" si="37"/>
        <v>1. &lt;1yr</v>
      </c>
      <c r="H806">
        <f t="shared" si="38"/>
        <v>0</v>
      </c>
    </row>
    <row r="807" spans="1:8" x14ac:dyDescent="0.3">
      <c r="A807">
        <v>1604</v>
      </c>
      <c r="B807" t="s">
        <v>14</v>
      </c>
      <c r="C807" s="1">
        <v>45925</v>
      </c>
      <c r="D807" t="s">
        <v>7</v>
      </c>
      <c r="E807" t="s">
        <v>8</v>
      </c>
      <c r="F807">
        <f t="shared" ca="1" si="36"/>
        <v>10</v>
      </c>
      <c r="G807" t="str">
        <f t="shared" ca="1" si="37"/>
        <v>1. &lt;1yr</v>
      </c>
      <c r="H807">
        <f t="shared" si="38"/>
        <v>0</v>
      </c>
    </row>
    <row r="808" spans="1:8" x14ac:dyDescent="0.3">
      <c r="A808">
        <v>1616</v>
      </c>
      <c r="B808" t="s">
        <v>14</v>
      </c>
      <c r="C808" s="1">
        <v>44962</v>
      </c>
      <c r="D808" t="s">
        <v>7</v>
      </c>
      <c r="E808" t="s">
        <v>8</v>
      </c>
      <c r="F808">
        <f t="shared" ca="1" si="36"/>
        <v>42</v>
      </c>
      <c r="G808" t="str">
        <f t="shared" ca="1" si="37"/>
        <v>3. 3-5yr</v>
      </c>
      <c r="H808">
        <f t="shared" si="38"/>
        <v>0</v>
      </c>
    </row>
    <row r="809" spans="1:8" x14ac:dyDescent="0.3">
      <c r="A809">
        <v>1629</v>
      </c>
      <c r="B809" t="s">
        <v>14</v>
      </c>
      <c r="C809" s="1">
        <v>45274</v>
      </c>
      <c r="D809" t="s">
        <v>7</v>
      </c>
      <c r="E809" t="s">
        <v>8</v>
      </c>
      <c r="F809">
        <f t="shared" ca="1" si="36"/>
        <v>32</v>
      </c>
      <c r="G809" t="str">
        <f t="shared" ca="1" si="37"/>
        <v>2. 1-3yr</v>
      </c>
      <c r="H809">
        <f t="shared" si="38"/>
        <v>0</v>
      </c>
    </row>
    <row r="810" spans="1:8" x14ac:dyDescent="0.3">
      <c r="A810">
        <v>1675</v>
      </c>
      <c r="B810" t="s">
        <v>14</v>
      </c>
      <c r="C810" s="1">
        <v>44636</v>
      </c>
      <c r="D810" t="s">
        <v>7</v>
      </c>
      <c r="E810" t="s">
        <v>8</v>
      </c>
      <c r="F810">
        <f t="shared" ca="1" si="36"/>
        <v>53</v>
      </c>
      <c r="G810" t="str">
        <f t="shared" ca="1" si="37"/>
        <v>3. 3-5yr</v>
      </c>
      <c r="H810">
        <f t="shared" si="38"/>
        <v>0</v>
      </c>
    </row>
    <row r="811" spans="1:8" x14ac:dyDescent="0.3">
      <c r="A811">
        <v>1690</v>
      </c>
      <c r="B811" t="s">
        <v>14</v>
      </c>
      <c r="C811" s="1">
        <v>46039</v>
      </c>
      <c r="D811" t="s">
        <v>7</v>
      </c>
      <c r="E811" t="s">
        <v>8</v>
      </c>
      <c r="F811">
        <f t="shared" ca="1" si="36"/>
        <v>7</v>
      </c>
      <c r="G811" t="str">
        <f t="shared" ca="1" si="37"/>
        <v>1. &lt;1yr</v>
      </c>
      <c r="H811">
        <f t="shared" si="38"/>
        <v>0</v>
      </c>
    </row>
    <row r="812" spans="1:8" x14ac:dyDescent="0.3">
      <c r="A812">
        <v>1692</v>
      </c>
      <c r="B812" t="s">
        <v>14</v>
      </c>
      <c r="C812" s="1">
        <v>45469</v>
      </c>
      <c r="D812" t="s">
        <v>7</v>
      </c>
      <c r="E812" t="s">
        <v>8</v>
      </c>
      <c r="F812">
        <f t="shared" ca="1" si="36"/>
        <v>25</v>
      </c>
      <c r="G812" t="str">
        <f t="shared" ca="1" si="37"/>
        <v>2. 1-3yr</v>
      </c>
      <c r="H812">
        <f t="shared" si="38"/>
        <v>0</v>
      </c>
    </row>
    <row r="813" spans="1:8" x14ac:dyDescent="0.3">
      <c r="A813">
        <v>1693</v>
      </c>
      <c r="B813" t="s">
        <v>14</v>
      </c>
      <c r="C813" s="1">
        <v>44588</v>
      </c>
      <c r="D813" t="s">
        <v>7</v>
      </c>
      <c r="E813" t="s">
        <v>8</v>
      </c>
      <c r="F813">
        <f t="shared" ca="1" si="36"/>
        <v>54</v>
      </c>
      <c r="G813" t="str">
        <f t="shared" ca="1" si="37"/>
        <v>3. 3-5yr</v>
      </c>
      <c r="H813">
        <f t="shared" si="38"/>
        <v>0</v>
      </c>
    </row>
    <row r="814" spans="1:8" x14ac:dyDescent="0.3">
      <c r="A814">
        <v>1729</v>
      </c>
      <c r="B814" t="s">
        <v>14</v>
      </c>
      <c r="C814" s="1">
        <v>45249</v>
      </c>
      <c r="D814" t="s">
        <v>7</v>
      </c>
      <c r="E814" t="s">
        <v>8</v>
      </c>
      <c r="F814">
        <f t="shared" ca="1" si="36"/>
        <v>32</v>
      </c>
      <c r="G814" t="str">
        <f t="shared" ca="1" si="37"/>
        <v>2. 1-3yr</v>
      </c>
      <c r="H814">
        <f t="shared" si="38"/>
        <v>0</v>
      </c>
    </row>
    <row r="815" spans="1:8" x14ac:dyDescent="0.3">
      <c r="A815">
        <v>1744</v>
      </c>
      <c r="B815" t="s">
        <v>14</v>
      </c>
      <c r="C815" s="1">
        <v>43678</v>
      </c>
      <c r="D815" t="s">
        <v>7</v>
      </c>
      <c r="E815" t="s">
        <v>8</v>
      </c>
      <c r="F815">
        <f t="shared" ca="1" si="36"/>
        <v>84</v>
      </c>
      <c r="G815" t="str">
        <f t="shared" ca="1" si="37"/>
        <v>4. 5+yr</v>
      </c>
      <c r="H815">
        <f t="shared" si="38"/>
        <v>0</v>
      </c>
    </row>
    <row r="816" spans="1:8" x14ac:dyDescent="0.3">
      <c r="A816">
        <v>1751</v>
      </c>
      <c r="B816" t="s">
        <v>14</v>
      </c>
      <c r="C816" s="1">
        <v>44319</v>
      </c>
      <c r="D816" t="s">
        <v>6</v>
      </c>
      <c r="E816" s="1">
        <v>45153</v>
      </c>
      <c r="F816">
        <f t="shared" ca="1" si="36"/>
        <v>27</v>
      </c>
      <c r="G816" t="str">
        <f t="shared" ca="1" si="37"/>
        <v>2. 1-3yr</v>
      </c>
      <c r="H816">
        <f t="shared" si="38"/>
        <v>1</v>
      </c>
    </row>
    <row r="817" spans="1:8" x14ac:dyDescent="0.3">
      <c r="A817">
        <v>1757</v>
      </c>
      <c r="B817" t="s">
        <v>14</v>
      </c>
      <c r="C817" s="1">
        <v>45813</v>
      </c>
      <c r="D817" t="s">
        <v>7</v>
      </c>
      <c r="E817" t="s">
        <v>8</v>
      </c>
      <c r="F817">
        <f t="shared" ca="1" si="36"/>
        <v>14</v>
      </c>
      <c r="G817" t="str">
        <f t="shared" ca="1" si="37"/>
        <v>2. 1-3yr</v>
      </c>
      <c r="H817">
        <f t="shared" si="38"/>
        <v>0</v>
      </c>
    </row>
    <row r="818" spans="1:8" x14ac:dyDescent="0.3">
      <c r="A818">
        <v>1773</v>
      </c>
      <c r="B818" t="s">
        <v>14</v>
      </c>
      <c r="C818" s="1">
        <v>45764</v>
      </c>
      <c r="D818" t="s">
        <v>6</v>
      </c>
      <c r="E818" s="1">
        <v>46148</v>
      </c>
      <c r="F818">
        <f t="shared" ca="1" si="36"/>
        <v>12</v>
      </c>
      <c r="G818" t="str">
        <f t="shared" ca="1" si="37"/>
        <v>2. 1-3yr</v>
      </c>
      <c r="H818">
        <f t="shared" si="38"/>
        <v>1</v>
      </c>
    </row>
    <row r="819" spans="1:8" x14ac:dyDescent="0.3">
      <c r="A819">
        <v>1812</v>
      </c>
      <c r="B819" t="s">
        <v>14</v>
      </c>
      <c r="C819" s="1">
        <v>45302</v>
      </c>
      <c r="D819" t="s">
        <v>7</v>
      </c>
      <c r="E819" t="s">
        <v>8</v>
      </c>
      <c r="F819">
        <f t="shared" ca="1" si="36"/>
        <v>31</v>
      </c>
      <c r="G819" t="str">
        <f t="shared" ca="1" si="37"/>
        <v>2. 1-3yr</v>
      </c>
      <c r="H819">
        <f t="shared" si="38"/>
        <v>0</v>
      </c>
    </row>
    <row r="820" spans="1:8" x14ac:dyDescent="0.3">
      <c r="A820">
        <v>1819</v>
      </c>
      <c r="B820" t="s">
        <v>14</v>
      </c>
      <c r="C820" s="1">
        <v>46087</v>
      </c>
      <c r="D820" t="s">
        <v>7</v>
      </c>
      <c r="E820" t="s">
        <v>8</v>
      </c>
      <c r="F820">
        <f t="shared" ca="1" si="36"/>
        <v>5</v>
      </c>
      <c r="G820" t="str">
        <f t="shared" ca="1" si="37"/>
        <v>1. &lt;1yr</v>
      </c>
      <c r="H820">
        <f t="shared" si="38"/>
        <v>0</v>
      </c>
    </row>
    <row r="821" spans="1:8" x14ac:dyDescent="0.3">
      <c r="A821">
        <v>1826</v>
      </c>
      <c r="B821" t="s">
        <v>14</v>
      </c>
      <c r="C821" s="1">
        <v>44457</v>
      </c>
      <c r="D821" t="s">
        <v>7</v>
      </c>
      <c r="E821" t="s">
        <v>8</v>
      </c>
      <c r="F821">
        <f t="shared" ca="1" si="36"/>
        <v>59</v>
      </c>
      <c r="G821" t="str">
        <f t="shared" ca="1" si="37"/>
        <v>3. 3-5yr</v>
      </c>
      <c r="H821">
        <f t="shared" si="38"/>
        <v>0</v>
      </c>
    </row>
    <row r="822" spans="1:8" x14ac:dyDescent="0.3">
      <c r="A822">
        <v>1851</v>
      </c>
      <c r="B822" t="s">
        <v>14</v>
      </c>
      <c r="C822" s="1">
        <v>44382</v>
      </c>
      <c r="D822" t="s">
        <v>7</v>
      </c>
      <c r="E822" t="s">
        <v>8</v>
      </c>
      <c r="F822">
        <f t="shared" ca="1" si="36"/>
        <v>61</v>
      </c>
      <c r="G822" t="str">
        <f t="shared" ca="1" si="37"/>
        <v>4. 5+yr</v>
      </c>
      <c r="H822">
        <f t="shared" si="38"/>
        <v>0</v>
      </c>
    </row>
    <row r="823" spans="1:8" x14ac:dyDescent="0.3">
      <c r="A823">
        <v>1859</v>
      </c>
      <c r="B823" t="s">
        <v>14</v>
      </c>
      <c r="C823" s="1">
        <v>46012</v>
      </c>
      <c r="D823" t="s">
        <v>7</v>
      </c>
      <c r="E823" t="s">
        <v>8</v>
      </c>
      <c r="F823">
        <f t="shared" ca="1" si="36"/>
        <v>7</v>
      </c>
      <c r="G823" t="str">
        <f t="shared" ca="1" si="37"/>
        <v>1. &lt;1yr</v>
      </c>
      <c r="H823">
        <f t="shared" si="38"/>
        <v>0</v>
      </c>
    </row>
    <row r="824" spans="1:8" x14ac:dyDescent="0.3">
      <c r="A824">
        <v>1018</v>
      </c>
      <c r="B824" t="s">
        <v>15</v>
      </c>
      <c r="C824" s="1">
        <v>45680</v>
      </c>
      <c r="D824" t="s">
        <v>7</v>
      </c>
      <c r="E824" t="s">
        <v>8</v>
      </c>
      <c r="F824">
        <f t="shared" ca="1" si="36"/>
        <v>18</v>
      </c>
      <c r="G824" t="str">
        <f t="shared" ca="1" si="37"/>
        <v>2. 1-3yr</v>
      </c>
      <c r="H824">
        <f t="shared" si="38"/>
        <v>0</v>
      </c>
    </row>
    <row r="825" spans="1:8" x14ac:dyDescent="0.3">
      <c r="A825">
        <v>1039</v>
      </c>
      <c r="B825" t="s">
        <v>15</v>
      </c>
      <c r="C825" s="1">
        <v>44408</v>
      </c>
      <c r="D825" t="s">
        <v>7</v>
      </c>
      <c r="E825" t="s">
        <v>8</v>
      </c>
      <c r="F825">
        <f t="shared" ca="1" si="36"/>
        <v>60</v>
      </c>
      <c r="G825" t="str">
        <f t="shared" ca="1" si="37"/>
        <v>4. 5+yr</v>
      </c>
      <c r="H825">
        <f t="shared" si="38"/>
        <v>0</v>
      </c>
    </row>
    <row r="826" spans="1:8" x14ac:dyDescent="0.3">
      <c r="A826">
        <v>1114</v>
      </c>
      <c r="B826" t="s">
        <v>15</v>
      </c>
      <c r="C826" s="1">
        <v>46009</v>
      </c>
      <c r="D826" t="s">
        <v>7</v>
      </c>
      <c r="E826" t="s">
        <v>8</v>
      </c>
      <c r="F826">
        <f t="shared" ca="1" si="36"/>
        <v>8</v>
      </c>
      <c r="G826" t="str">
        <f t="shared" ca="1" si="37"/>
        <v>1. &lt;1yr</v>
      </c>
      <c r="H826">
        <f t="shared" si="38"/>
        <v>0</v>
      </c>
    </row>
    <row r="827" spans="1:8" x14ac:dyDescent="0.3">
      <c r="A827">
        <v>1129</v>
      </c>
      <c r="B827" t="s">
        <v>15</v>
      </c>
      <c r="C827" s="1">
        <v>44989</v>
      </c>
      <c r="D827" t="s">
        <v>7</v>
      </c>
      <c r="E827" t="s">
        <v>8</v>
      </c>
      <c r="F827">
        <f t="shared" ca="1" si="36"/>
        <v>41</v>
      </c>
      <c r="G827" t="str">
        <f t="shared" ca="1" si="37"/>
        <v>3. 3-5yr</v>
      </c>
      <c r="H827">
        <f t="shared" si="38"/>
        <v>0</v>
      </c>
    </row>
    <row r="828" spans="1:8" x14ac:dyDescent="0.3">
      <c r="A828">
        <v>1192</v>
      </c>
      <c r="B828" t="s">
        <v>15</v>
      </c>
      <c r="C828" s="1">
        <v>45738</v>
      </c>
      <c r="D828" t="s">
        <v>6</v>
      </c>
      <c r="E828" s="1">
        <v>45893</v>
      </c>
      <c r="F828">
        <f t="shared" ca="1" si="36"/>
        <v>5</v>
      </c>
      <c r="G828" t="str">
        <f t="shared" ca="1" si="37"/>
        <v>1. &lt;1yr</v>
      </c>
      <c r="H828">
        <f t="shared" si="38"/>
        <v>1</v>
      </c>
    </row>
    <row r="829" spans="1:8" x14ac:dyDescent="0.3">
      <c r="A829">
        <v>1241</v>
      </c>
      <c r="B829" t="s">
        <v>15</v>
      </c>
      <c r="C829" s="1">
        <v>45958</v>
      </c>
      <c r="D829" t="s">
        <v>6</v>
      </c>
      <c r="E829" s="1">
        <v>45988</v>
      </c>
      <c r="F829">
        <f t="shared" ca="1" si="36"/>
        <v>0</v>
      </c>
      <c r="G829" t="str">
        <f t="shared" ca="1" si="37"/>
        <v>1. &lt;1yr</v>
      </c>
      <c r="H829">
        <f t="shared" si="38"/>
        <v>1</v>
      </c>
    </row>
    <row r="830" spans="1:8" x14ac:dyDescent="0.3">
      <c r="A830">
        <v>1259</v>
      </c>
      <c r="B830" t="s">
        <v>15</v>
      </c>
      <c r="C830" s="1">
        <v>45296</v>
      </c>
      <c r="D830" t="s">
        <v>7</v>
      </c>
      <c r="E830" t="s">
        <v>8</v>
      </c>
      <c r="F830">
        <f t="shared" ca="1" si="36"/>
        <v>31</v>
      </c>
      <c r="G830" t="str">
        <f t="shared" ca="1" si="37"/>
        <v>2. 1-3yr</v>
      </c>
      <c r="H830">
        <f t="shared" si="38"/>
        <v>0</v>
      </c>
    </row>
    <row r="831" spans="1:8" x14ac:dyDescent="0.3">
      <c r="A831">
        <v>1278</v>
      </c>
      <c r="B831" t="s">
        <v>15</v>
      </c>
      <c r="C831" s="1">
        <v>45377</v>
      </c>
      <c r="D831" t="s">
        <v>6</v>
      </c>
      <c r="E831" s="1">
        <v>45954</v>
      </c>
      <c r="F831">
        <f t="shared" ca="1" si="36"/>
        <v>18</v>
      </c>
      <c r="G831" t="str">
        <f t="shared" ca="1" si="37"/>
        <v>2. 1-3yr</v>
      </c>
      <c r="H831">
        <f t="shared" si="38"/>
        <v>1</v>
      </c>
    </row>
    <row r="832" spans="1:8" x14ac:dyDescent="0.3">
      <c r="A832">
        <v>1297</v>
      </c>
      <c r="B832" t="s">
        <v>15</v>
      </c>
      <c r="C832" s="1">
        <v>46132</v>
      </c>
      <c r="D832" t="s">
        <v>6</v>
      </c>
      <c r="E832" s="1">
        <v>46162</v>
      </c>
      <c r="F832">
        <f t="shared" ca="1" si="36"/>
        <v>1</v>
      </c>
      <c r="G832" t="str">
        <f t="shared" ca="1" si="37"/>
        <v>1. &lt;1yr</v>
      </c>
      <c r="H832">
        <f t="shared" si="38"/>
        <v>1</v>
      </c>
    </row>
    <row r="833" spans="1:8" x14ac:dyDescent="0.3">
      <c r="A833">
        <v>1355</v>
      </c>
      <c r="B833" t="s">
        <v>15</v>
      </c>
      <c r="C833" s="1">
        <v>45967</v>
      </c>
      <c r="D833" t="s">
        <v>7</v>
      </c>
      <c r="E833" t="s">
        <v>8</v>
      </c>
      <c r="F833">
        <f t="shared" ca="1" si="36"/>
        <v>9</v>
      </c>
      <c r="G833" t="str">
        <f t="shared" ca="1" si="37"/>
        <v>1. &lt;1yr</v>
      </c>
      <c r="H833">
        <f t="shared" si="38"/>
        <v>0</v>
      </c>
    </row>
    <row r="834" spans="1:8" x14ac:dyDescent="0.3">
      <c r="A834">
        <v>1368</v>
      </c>
      <c r="B834" t="s">
        <v>15</v>
      </c>
      <c r="C834" s="1">
        <v>45407</v>
      </c>
      <c r="D834" t="s">
        <v>7</v>
      </c>
      <c r="E834" t="s">
        <v>8</v>
      </c>
      <c r="F834">
        <f t="shared" ca="1" si="36"/>
        <v>27</v>
      </c>
      <c r="G834" t="str">
        <f t="shared" ca="1" si="37"/>
        <v>2. 1-3yr</v>
      </c>
      <c r="H834">
        <f t="shared" si="38"/>
        <v>0</v>
      </c>
    </row>
    <row r="835" spans="1:8" x14ac:dyDescent="0.3">
      <c r="A835">
        <v>1416</v>
      </c>
      <c r="B835" t="s">
        <v>15</v>
      </c>
      <c r="C835" s="1">
        <v>45797</v>
      </c>
      <c r="D835" t="s">
        <v>7</v>
      </c>
      <c r="E835" t="s">
        <v>8</v>
      </c>
      <c r="F835">
        <f t="shared" ref="F835:F866" ca="1" si="39">DATEDIF(C835, IF(OR(E835="",E835="NULL"), TODAY(), E835), "m")</f>
        <v>14</v>
      </c>
      <c r="G835" t="str">
        <f t="shared" ref="G835:G866" ca="1" si="40">IF(F835&lt;12,"1. &lt;1yr",IF(F835&lt;36,"2. 1-3yr",IF(F835&lt;60,"3. 3-5yr","4. 5+yr")))</f>
        <v>2. 1-3yr</v>
      </c>
      <c r="H835">
        <f t="shared" ref="H835:H866" si="41">IF(D835="Yes",1,0)</f>
        <v>0</v>
      </c>
    </row>
    <row r="836" spans="1:8" x14ac:dyDescent="0.3">
      <c r="A836">
        <v>1422</v>
      </c>
      <c r="B836" t="s">
        <v>15</v>
      </c>
      <c r="C836" s="1">
        <v>45635</v>
      </c>
      <c r="D836" t="s">
        <v>7</v>
      </c>
      <c r="E836" t="s">
        <v>8</v>
      </c>
      <c r="F836">
        <f t="shared" ca="1" si="39"/>
        <v>20</v>
      </c>
      <c r="G836" t="str">
        <f t="shared" ca="1" si="40"/>
        <v>2. 1-3yr</v>
      </c>
      <c r="H836">
        <f t="shared" si="41"/>
        <v>0</v>
      </c>
    </row>
    <row r="837" spans="1:8" x14ac:dyDescent="0.3">
      <c r="A837">
        <v>1538</v>
      </c>
      <c r="B837" t="s">
        <v>15</v>
      </c>
      <c r="C837" s="1">
        <v>44104</v>
      </c>
      <c r="D837" t="s">
        <v>7</v>
      </c>
      <c r="E837" t="s">
        <v>8</v>
      </c>
      <c r="F837">
        <f t="shared" ca="1" si="39"/>
        <v>70</v>
      </c>
      <c r="G837" t="str">
        <f t="shared" ca="1" si="40"/>
        <v>4. 5+yr</v>
      </c>
      <c r="H837">
        <f t="shared" si="41"/>
        <v>0</v>
      </c>
    </row>
    <row r="838" spans="1:8" x14ac:dyDescent="0.3">
      <c r="A838">
        <v>1564</v>
      </c>
      <c r="B838" t="s">
        <v>15</v>
      </c>
      <c r="C838" s="1">
        <v>45054</v>
      </c>
      <c r="D838" t="s">
        <v>7</v>
      </c>
      <c r="E838" t="s">
        <v>8</v>
      </c>
      <c r="F838">
        <f t="shared" ca="1" si="39"/>
        <v>39</v>
      </c>
      <c r="G838" t="str">
        <f t="shared" ca="1" si="40"/>
        <v>3. 3-5yr</v>
      </c>
      <c r="H838">
        <f t="shared" si="41"/>
        <v>0</v>
      </c>
    </row>
    <row r="839" spans="1:8" x14ac:dyDescent="0.3">
      <c r="A839">
        <v>1646</v>
      </c>
      <c r="B839" t="s">
        <v>15</v>
      </c>
      <c r="C839" s="1">
        <v>44093</v>
      </c>
      <c r="D839" t="s">
        <v>7</v>
      </c>
      <c r="E839" t="s">
        <v>8</v>
      </c>
      <c r="F839">
        <f t="shared" ca="1" si="39"/>
        <v>70</v>
      </c>
      <c r="G839" t="str">
        <f t="shared" ca="1" si="40"/>
        <v>4. 5+yr</v>
      </c>
      <c r="H839">
        <f t="shared" si="41"/>
        <v>0</v>
      </c>
    </row>
    <row r="840" spans="1:8" x14ac:dyDescent="0.3">
      <c r="A840">
        <v>1651</v>
      </c>
      <c r="B840" t="s">
        <v>15</v>
      </c>
      <c r="C840" s="1">
        <v>45842</v>
      </c>
      <c r="D840" t="s">
        <v>7</v>
      </c>
      <c r="E840" t="s">
        <v>8</v>
      </c>
      <c r="F840">
        <f t="shared" ca="1" si="39"/>
        <v>13</v>
      </c>
      <c r="G840" t="str">
        <f t="shared" ca="1" si="40"/>
        <v>2. 1-3yr</v>
      </c>
      <c r="H840">
        <f t="shared" si="41"/>
        <v>0</v>
      </c>
    </row>
    <row r="841" spans="1:8" x14ac:dyDescent="0.3">
      <c r="A841">
        <v>1706</v>
      </c>
      <c r="B841" t="s">
        <v>15</v>
      </c>
      <c r="C841" s="1">
        <v>44583</v>
      </c>
      <c r="D841" t="s">
        <v>7</v>
      </c>
      <c r="E841" t="s">
        <v>8</v>
      </c>
      <c r="F841">
        <f t="shared" ca="1" si="39"/>
        <v>54</v>
      </c>
      <c r="G841" t="str">
        <f t="shared" ca="1" si="40"/>
        <v>3. 3-5yr</v>
      </c>
      <c r="H841">
        <f t="shared" si="41"/>
        <v>0</v>
      </c>
    </row>
    <row r="842" spans="1:8" x14ac:dyDescent="0.3">
      <c r="A842">
        <v>1736</v>
      </c>
      <c r="B842" t="s">
        <v>15</v>
      </c>
      <c r="C842" s="1">
        <v>45633</v>
      </c>
      <c r="D842" t="s">
        <v>7</v>
      </c>
      <c r="E842" t="s">
        <v>8</v>
      </c>
      <c r="F842">
        <f t="shared" ca="1" si="39"/>
        <v>20</v>
      </c>
      <c r="G842" t="str">
        <f t="shared" ca="1" si="40"/>
        <v>2. 1-3yr</v>
      </c>
      <c r="H842">
        <f t="shared" si="41"/>
        <v>0</v>
      </c>
    </row>
    <row r="843" spans="1:8" x14ac:dyDescent="0.3">
      <c r="A843">
        <v>1743</v>
      </c>
      <c r="B843" t="s">
        <v>15</v>
      </c>
      <c r="C843" s="1">
        <v>45849</v>
      </c>
      <c r="D843" t="s">
        <v>7</v>
      </c>
      <c r="E843" t="s">
        <v>8</v>
      </c>
      <c r="F843">
        <f t="shared" ca="1" si="39"/>
        <v>13</v>
      </c>
      <c r="G843" t="str">
        <f t="shared" ca="1" si="40"/>
        <v>2. 1-3yr</v>
      </c>
      <c r="H843">
        <f t="shared" si="41"/>
        <v>0</v>
      </c>
    </row>
    <row r="844" spans="1:8" x14ac:dyDescent="0.3">
      <c r="A844">
        <v>1785</v>
      </c>
      <c r="B844" t="s">
        <v>15</v>
      </c>
      <c r="C844" s="1">
        <v>45565</v>
      </c>
      <c r="D844" t="s">
        <v>6</v>
      </c>
      <c r="E844" s="1">
        <v>45769</v>
      </c>
      <c r="F844">
        <f t="shared" ca="1" si="39"/>
        <v>6</v>
      </c>
      <c r="G844" t="str">
        <f t="shared" ca="1" si="40"/>
        <v>1. &lt;1yr</v>
      </c>
      <c r="H844">
        <f t="shared" si="41"/>
        <v>1</v>
      </c>
    </row>
    <row r="845" spans="1:8" x14ac:dyDescent="0.3">
      <c r="A845">
        <v>1009</v>
      </c>
      <c r="B845" t="s">
        <v>16</v>
      </c>
      <c r="C845" s="1">
        <v>45235</v>
      </c>
      <c r="D845" t="s">
        <v>7</v>
      </c>
      <c r="E845" t="s">
        <v>8</v>
      </c>
      <c r="F845">
        <f t="shared" ca="1" si="39"/>
        <v>33</v>
      </c>
      <c r="G845" t="str">
        <f t="shared" ca="1" si="40"/>
        <v>2. 1-3yr</v>
      </c>
      <c r="H845">
        <f t="shared" si="41"/>
        <v>0</v>
      </c>
    </row>
    <row r="846" spans="1:8" x14ac:dyDescent="0.3">
      <c r="A846">
        <v>1052</v>
      </c>
      <c r="B846" t="s">
        <v>16</v>
      </c>
      <c r="C846" s="1">
        <v>44952</v>
      </c>
      <c r="D846" t="s">
        <v>7</v>
      </c>
      <c r="E846" t="s">
        <v>8</v>
      </c>
      <c r="F846">
        <f t="shared" ca="1" si="39"/>
        <v>42</v>
      </c>
      <c r="G846" t="str">
        <f t="shared" ca="1" si="40"/>
        <v>3. 3-5yr</v>
      </c>
      <c r="H846">
        <f t="shared" si="41"/>
        <v>0</v>
      </c>
    </row>
    <row r="847" spans="1:8" x14ac:dyDescent="0.3">
      <c r="A847">
        <v>1062</v>
      </c>
      <c r="B847" t="s">
        <v>16</v>
      </c>
      <c r="C847" s="1">
        <v>45764</v>
      </c>
      <c r="D847" t="s">
        <v>7</v>
      </c>
      <c r="E847" t="s">
        <v>8</v>
      </c>
      <c r="F847">
        <f t="shared" ca="1" si="39"/>
        <v>16</v>
      </c>
      <c r="G847" t="str">
        <f t="shared" ca="1" si="40"/>
        <v>2. 1-3yr</v>
      </c>
      <c r="H847">
        <f t="shared" si="41"/>
        <v>0</v>
      </c>
    </row>
    <row r="848" spans="1:8" x14ac:dyDescent="0.3">
      <c r="A848">
        <v>1065</v>
      </c>
      <c r="B848" t="s">
        <v>16</v>
      </c>
      <c r="C848" s="1">
        <v>45283</v>
      </c>
      <c r="D848" t="s">
        <v>7</v>
      </c>
      <c r="E848" t="s">
        <v>8</v>
      </c>
      <c r="F848">
        <f t="shared" ca="1" si="39"/>
        <v>31</v>
      </c>
      <c r="G848" t="str">
        <f t="shared" ca="1" si="40"/>
        <v>2. 1-3yr</v>
      </c>
      <c r="H848">
        <f t="shared" si="41"/>
        <v>0</v>
      </c>
    </row>
    <row r="849" spans="1:8" x14ac:dyDescent="0.3">
      <c r="A849">
        <v>1096</v>
      </c>
      <c r="B849" t="s">
        <v>16</v>
      </c>
      <c r="C849" s="1">
        <v>45254</v>
      </c>
      <c r="D849" t="s">
        <v>6</v>
      </c>
      <c r="E849" s="1">
        <v>45927</v>
      </c>
      <c r="F849">
        <f t="shared" ca="1" si="39"/>
        <v>22</v>
      </c>
      <c r="G849" t="str">
        <f t="shared" ca="1" si="40"/>
        <v>2. 1-3yr</v>
      </c>
      <c r="H849">
        <f t="shared" si="41"/>
        <v>1</v>
      </c>
    </row>
    <row r="850" spans="1:8" x14ac:dyDescent="0.3">
      <c r="A850">
        <v>1112</v>
      </c>
      <c r="B850" t="s">
        <v>16</v>
      </c>
      <c r="C850" s="1">
        <v>45257</v>
      </c>
      <c r="D850" t="s">
        <v>7</v>
      </c>
      <c r="E850" t="s">
        <v>8</v>
      </c>
      <c r="F850">
        <f t="shared" ca="1" si="39"/>
        <v>32</v>
      </c>
      <c r="G850" t="str">
        <f t="shared" ca="1" si="40"/>
        <v>2. 1-3yr</v>
      </c>
      <c r="H850">
        <f t="shared" si="41"/>
        <v>0</v>
      </c>
    </row>
    <row r="851" spans="1:8" x14ac:dyDescent="0.3">
      <c r="A851">
        <v>1126</v>
      </c>
      <c r="B851" t="s">
        <v>16</v>
      </c>
      <c r="C851" s="1">
        <v>45887</v>
      </c>
      <c r="D851" t="s">
        <v>6</v>
      </c>
      <c r="E851" s="1">
        <v>45917</v>
      </c>
      <c r="F851">
        <f t="shared" ca="1" si="39"/>
        <v>0</v>
      </c>
      <c r="G851" t="str">
        <f t="shared" ca="1" si="40"/>
        <v>1. &lt;1yr</v>
      </c>
      <c r="H851">
        <f t="shared" si="41"/>
        <v>1</v>
      </c>
    </row>
    <row r="852" spans="1:8" x14ac:dyDescent="0.3">
      <c r="A852">
        <v>1199</v>
      </c>
      <c r="B852" t="s">
        <v>16</v>
      </c>
      <c r="C852" s="1">
        <v>45268</v>
      </c>
      <c r="D852" t="s">
        <v>7</v>
      </c>
      <c r="E852" t="s">
        <v>8</v>
      </c>
      <c r="F852">
        <f t="shared" ca="1" si="39"/>
        <v>32</v>
      </c>
      <c r="G852" t="str">
        <f t="shared" ca="1" si="40"/>
        <v>2. 1-3yr</v>
      </c>
      <c r="H852">
        <f t="shared" si="41"/>
        <v>0</v>
      </c>
    </row>
    <row r="853" spans="1:8" x14ac:dyDescent="0.3">
      <c r="A853">
        <v>1232</v>
      </c>
      <c r="B853" t="s">
        <v>16</v>
      </c>
      <c r="C853" s="1">
        <v>45666</v>
      </c>
      <c r="D853" t="s">
        <v>7</v>
      </c>
      <c r="E853" t="s">
        <v>8</v>
      </c>
      <c r="F853">
        <f t="shared" ca="1" si="39"/>
        <v>19</v>
      </c>
      <c r="G853" t="str">
        <f t="shared" ca="1" si="40"/>
        <v>2. 1-3yr</v>
      </c>
      <c r="H853">
        <f t="shared" si="41"/>
        <v>0</v>
      </c>
    </row>
    <row r="854" spans="1:8" x14ac:dyDescent="0.3">
      <c r="A854">
        <v>1267</v>
      </c>
      <c r="B854" t="s">
        <v>16</v>
      </c>
      <c r="C854" s="1">
        <v>45901</v>
      </c>
      <c r="D854" t="s">
        <v>7</v>
      </c>
      <c r="E854" t="s">
        <v>8</v>
      </c>
      <c r="F854">
        <f t="shared" ca="1" si="39"/>
        <v>11</v>
      </c>
      <c r="G854" t="str">
        <f t="shared" ca="1" si="40"/>
        <v>1. &lt;1yr</v>
      </c>
      <c r="H854">
        <f t="shared" si="41"/>
        <v>0</v>
      </c>
    </row>
    <row r="855" spans="1:8" x14ac:dyDescent="0.3">
      <c r="A855">
        <v>1284</v>
      </c>
      <c r="B855" t="s">
        <v>16</v>
      </c>
      <c r="C855" s="1">
        <v>44943</v>
      </c>
      <c r="D855" t="s">
        <v>6</v>
      </c>
      <c r="E855" s="1">
        <v>45865</v>
      </c>
      <c r="F855">
        <f t="shared" ca="1" si="39"/>
        <v>30</v>
      </c>
      <c r="G855" t="str">
        <f t="shared" ca="1" si="40"/>
        <v>2. 1-3yr</v>
      </c>
      <c r="H855">
        <f t="shared" si="41"/>
        <v>1</v>
      </c>
    </row>
    <row r="856" spans="1:8" x14ac:dyDescent="0.3">
      <c r="A856">
        <v>1357</v>
      </c>
      <c r="B856" t="s">
        <v>16</v>
      </c>
      <c r="C856" s="1">
        <v>45405</v>
      </c>
      <c r="D856" t="s">
        <v>6</v>
      </c>
      <c r="E856" s="1">
        <v>45695</v>
      </c>
      <c r="F856">
        <f t="shared" ca="1" si="39"/>
        <v>9</v>
      </c>
      <c r="G856" t="str">
        <f t="shared" ca="1" si="40"/>
        <v>1. &lt;1yr</v>
      </c>
      <c r="H856">
        <f t="shared" si="41"/>
        <v>1</v>
      </c>
    </row>
    <row r="857" spans="1:8" x14ac:dyDescent="0.3">
      <c r="A857">
        <v>1421</v>
      </c>
      <c r="B857" t="s">
        <v>16</v>
      </c>
      <c r="C857" s="1">
        <v>45235</v>
      </c>
      <c r="D857" t="s">
        <v>7</v>
      </c>
      <c r="E857" t="s">
        <v>8</v>
      </c>
      <c r="F857">
        <f t="shared" ca="1" si="39"/>
        <v>33</v>
      </c>
      <c r="G857" t="str">
        <f t="shared" ca="1" si="40"/>
        <v>2. 1-3yr</v>
      </c>
      <c r="H857">
        <f t="shared" si="41"/>
        <v>0</v>
      </c>
    </row>
    <row r="858" spans="1:8" x14ac:dyDescent="0.3">
      <c r="A858">
        <v>1463</v>
      </c>
      <c r="B858" t="s">
        <v>16</v>
      </c>
      <c r="C858" s="1">
        <v>45190</v>
      </c>
      <c r="D858" t="s">
        <v>7</v>
      </c>
      <c r="E858" t="s">
        <v>8</v>
      </c>
      <c r="F858">
        <f t="shared" ca="1" si="39"/>
        <v>34</v>
      </c>
      <c r="G858" t="str">
        <f t="shared" ca="1" si="40"/>
        <v>2. 1-3yr</v>
      </c>
      <c r="H858">
        <f t="shared" si="41"/>
        <v>0</v>
      </c>
    </row>
    <row r="859" spans="1:8" x14ac:dyDescent="0.3">
      <c r="A859">
        <v>1509</v>
      </c>
      <c r="B859" t="s">
        <v>16</v>
      </c>
      <c r="C859" s="1">
        <v>45007</v>
      </c>
      <c r="D859" t="s">
        <v>7</v>
      </c>
      <c r="E859" t="s">
        <v>8</v>
      </c>
      <c r="F859">
        <f t="shared" ca="1" si="39"/>
        <v>40</v>
      </c>
      <c r="G859" t="str">
        <f t="shared" ca="1" si="40"/>
        <v>3. 3-5yr</v>
      </c>
      <c r="H859">
        <f t="shared" si="41"/>
        <v>0</v>
      </c>
    </row>
    <row r="860" spans="1:8" x14ac:dyDescent="0.3">
      <c r="A860">
        <v>1635</v>
      </c>
      <c r="B860" t="s">
        <v>16</v>
      </c>
      <c r="C860" s="1">
        <v>44825</v>
      </c>
      <c r="D860" t="s">
        <v>7</v>
      </c>
      <c r="E860" t="s">
        <v>8</v>
      </c>
      <c r="F860">
        <f t="shared" ca="1" si="39"/>
        <v>46</v>
      </c>
      <c r="G860" t="str">
        <f t="shared" ca="1" si="40"/>
        <v>3. 3-5yr</v>
      </c>
      <c r="H860">
        <f t="shared" si="41"/>
        <v>0</v>
      </c>
    </row>
    <row r="861" spans="1:8" x14ac:dyDescent="0.3">
      <c r="A861">
        <v>1655</v>
      </c>
      <c r="B861" t="s">
        <v>16</v>
      </c>
      <c r="C861" s="1">
        <v>45350</v>
      </c>
      <c r="D861" t="s">
        <v>7</v>
      </c>
      <c r="E861" t="s">
        <v>8</v>
      </c>
      <c r="F861">
        <f t="shared" ca="1" si="39"/>
        <v>29</v>
      </c>
      <c r="G861" t="str">
        <f t="shared" ca="1" si="40"/>
        <v>2. 1-3yr</v>
      </c>
      <c r="H861">
        <f t="shared" si="41"/>
        <v>0</v>
      </c>
    </row>
    <row r="862" spans="1:8" x14ac:dyDescent="0.3">
      <c r="A862">
        <v>1656</v>
      </c>
      <c r="B862" t="s">
        <v>16</v>
      </c>
      <c r="C862" s="1">
        <v>46161</v>
      </c>
      <c r="D862" t="s">
        <v>6</v>
      </c>
      <c r="E862" s="1">
        <v>46191</v>
      </c>
      <c r="F862">
        <f t="shared" ca="1" si="39"/>
        <v>0</v>
      </c>
      <c r="G862" t="str">
        <f t="shared" ca="1" si="40"/>
        <v>1. &lt;1yr</v>
      </c>
      <c r="H862">
        <f t="shared" si="41"/>
        <v>1</v>
      </c>
    </row>
    <row r="863" spans="1:8" x14ac:dyDescent="0.3">
      <c r="A863">
        <v>1673</v>
      </c>
      <c r="B863" t="s">
        <v>16</v>
      </c>
      <c r="C863" s="1">
        <v>45868</v>
      </c>
      <c r="D863" t="s">
        <v>7</v>
      </c>
      <c r="E863" t="s">
        <v>8</v>
      </c>
      <c r="F863">
        <f t="shared" ca="1" si="39"/>
        <v>12</v>
      </c>
      <c r="G863" t="str">
        <f t="shared" ca="1" si="40"/>
        <v>2. 1-3yr</v>
      </c>
      <c r="H863">
        <f t="shared" si="41"/>
        <v>0</v>
      </c>
    </row>
    <row r="864" spans="1:8" x14ac:dyDescent="0.3">
      <c r="A864">
        <v>1779</v>
      </c>
      <c r="B864" t="s">
        <v>16</v>
      </c>
      <c r="C864" s="1">
        <v>44232</v>
      </c>
      <c r="D864" t="s">
        <v>7</v>
      </c>
      <c r="E864" t="s">
        <v>8</v>
      </c>
      <c r="F864">
        <f t="shared" ca="1" si="39"/>
        <v>66</v>
      </c>
      <c r="G864" t="str">
        <f t="shared" ca="1" si="40"/>
        <v>4. 5+yr</v>
      </c>
      <c r="H864">
        <f t="shared" si="41"/>
        <v>0</v>
      </c>
    </row>
    <row r="865" spans="1:8" x14ac:dyDescent="0.3">
      <c r="A865">
        <v>1788</v>
      </c>
      <c r="B865" t="s">
        <v>16</v>
      </c>
      <c r="C865" s="1">
        <v>45818</v>
      </c>
      <c r="D865" t="s">
        <v>7</v>
      </c>
      <c r="E865" t="s">
        <v>8</v>
      </c>
      <c r="F865">
        <f t="shared" ca="1" si="39"/>
        <v>14</v>
      </c>
      <c r="G865" t="str">
        <f t="shared" ca="1" si="40"/>
        <v>2. 1-3yr</v>
      </c>
      <c r="H865">
        <f t="shared" si="41"/>
        <v>0</v>
      </c>
    </row>
    <row r="866" spans="1:8" x14ac:dyDescent="0.3">
      <c r="A866">
        <v>1848</v>
      </c>
      <c r="B866" t="s">
        <v>16</v>
      </c>
      <c r="C866" s="1">
        <v>45275</v>
      </c>
      <c r="D866" t="s">
        <v>7</v>
      </c>
      <c r="E866" t="s">
        <v>8</v>
      </c>
      <c r="F866">
        <f t="shared" ca="1" si="39"/>
        <v>32</v>
      </c>
      <c r="G866" t="str">
        <f t="shared" ca="1" si="40"/>
        <v>2. 1-3yr</v>
      </c>
      <c r="H866">
        <f t="shared" si="41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14"/>
  <sheetViews>
    <sheetView tabSelected="1" workbookViewId="0">
      <selection activeCell="K6" sqref="K6"/>
    </sheetView>
  </sheetViews>
  <sheetFormatPr defaultRowHeight="14.4" x14ac:dyDescent="0.3"/>
  <cols>
    <col min="1" max="1" width="17.6640625" customWidth="1"/>
    <col min="2" max="2" width="15.5546875" bestFit="1" customWidth="1"/>
    <col min="3" max="4" width="7.33203125" bestFit="1" customWidth="1"/>
    <col min="5" max="5" width="6.6640625" bestFit="1" customWidth="1"/>
    <col min="6" max="6" width="10.77734375" bestFit="1" customWidth="1"/>
  </cols>
  <sheetData>
    <row r="3" spans="1:6" x14ac:dyDescent="0.3">
      <c r="A3" s="2" t="s">
        <v>27</v>
      </c>
      <c r="B3" s="2" t="s">
        <v>22</v>
      </c>
    </row>
    <row r="4" spans="1:6" x14ac:dyDescent="0.3">
      <c r="A4" s="2" t="s">
        <v>20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</row>
    <row r="5" spans="1:6" x14ac:dyDescent="0.3">
      <c r="A5" s="3" t="s">
        <v>13</v>
      </c>
      <c r="B5" s="4">
        <v>0.44444444444444442</v>
      </c>
      <c r="C5" s="4">
        <v>0.20930232558139536</v>
      </c>
      <c r="D5" s="4">
        <v>6.25E-2</v>
      </c>
      <c r="E5" s="4">
        <v>0</v>
      </c>
      <c r="F5" s="4">
        <v>0.24444444444444444</v>
      </c>
    </row>
    <row r="6" spans="1:6" x14ac:dyDescent="0.3">
      <c r="A6" s="3" t="s">
        <v>10</v>
      </c>
      <c r="B6" s="4">
        <v>0.55555555555555558</v>
      </c>
      <c r="C6" s="4">
        <v>0.16666666666666666</v>
      </c>
      <c r="D6" s="4">
        <v>0</v>
      </c>
      <c r="E6" s="4">
        <v>0</v>
      </c>
      <c r="F6" s="4">
        <v>0.22535211267605634</v>
      </c>
    </row>
    <row r="7" spans="1:6" x14ac:dyDescent="0.3">
      <c r="A7" s="3" t="s">
        <v>5</v>
      </c>
      <c r="B7" s="4">
        <v>0.32835820895522388</v>
      </c>
      <c r="C7" s="4">
        <v>0.1951219512195122</v>
      </c>
      <c r="D7" s="4">
        <v>5.8823529411764705E-2</v>
      </c>
      <c r="E7" s="4">
        <v>0</v>
      </c>
      <c r="F7" s="4">
        <v>0.18631178707224336</v>
      </c>
    </row>
    <row r="8" spans="1:6" x14ac:dyDescent="0.3">
      <c r="A8" s="3" t="s">
        <v>16</v>
      </c>
      <c r="B8" s="4">
        <v>0.75</v>
      </c>
      <c r="C8" s="4">
        <v>0.14285714285714285</v>
      </c>
      <c r="D8" s="4">
        <v>0</v>
      </c>
      <c r="E8" s="4">
        <v>0</v>
      </c>
      <c r="F8" s="4">
        <v>0.22727272727272727</v>
      </c>
    </row>
    <row r="9" spans="1:6" x14ac:dyDescent="0.3">
      <c r="A9" s="3" t="s">
        <v>12</v>
      </c>
      <c r="B9" s="4">
        <v>0.46153846153846156</v>
      </c>
      <c r="C9" s="4">
        <v>6.8181818181818177E-2</v>
      </c>
      <c r="D9" s="4">
        <v>0</v>
      </c>
      <c r="E9" s="4">
        <v>0</v>
      </c>
      <c r="F9" s="4">
        <v>0.16853932584269662</v>
      </c>
    </row>
    <row r="10" spans="1:6" x14ac:dyDescent="0.3">
      <c r="A10" s="3" t="s">
        <v>14</v>
      </c>
      <c r="B10" s="4">
        <v>0.3888888888888889</v>
      </c>
      <c r="C10" s="4">
        <v>0.16</v>
      </c>
      <c r="D10" s="4">
        <v>0</v>
      </c>
      <c r="E10" s="4">
        <v>0</v>
      </c>
      <c r="F10" s="4">
        <v>0.2</v>
      </c>
    </row>
    <row r="11" spans="1:6" x14ac:dyDescent="0.3">
      <c r="A11" s="3" t="s">
        <v>15</v>
      </c>
      <c r="B11" s="4">
        <v>0.66666666666666663</v>
      </c>
      <c r="C11" s="4">
        <v>0.1111111111111111</v>
      </c>
      <c r="D11" s="4">
        <v>0</v>
      </c>
      <c r="E11" s="4">
        <v>0</v>
      </c>
      <c r="F11" s="4">
        <v>0.23809523809523808</v>
      </c>
    </row>
    <row r="12" spans="1:6" x14ac:dyDescent="0.3">
      <c r="A12" s="3" t="s">
        <v>9</v>
      </c>
      <c r="B12" s="4">
        <v>0.52</v>
      </c>
      <c r="C12" s="4">
        <v>0.20833333333333334</v>
      </c>
      <c r="D12" s="4">
        <v>0.08</v>
      </c>
      <c r="E12" s="4">
        <v>0</v>
      </c>
      <c r="F12" s="4">
        <v>0.24271844660194175</v>
      </c>
    </row>
    <row r="13" spans="1:6" x14ac:dyDescent="0.3">
      <c r="A13" s="3" t="s">
        <v>11</v>
      </c>
      <c r="B13" s="4">
        <v>0.46511627906976744</v>
      </c>
      <c r="C13" s="4">
        <v>0.14925373134328357</v>
      </c>
      <c r="D13" s="4">
        <v>6.4516129032258063E-2</v>
      </c>
      <c r="E13" s="4">
        <v>0</v>
      </c>
      <c r="F13" s="4">
        <v>0.2119205298013245</v>
      </c>
    </row>
    <row r="14" spans="1:6" x14ac:dyDescent="0.3">
      <c r="A14" s="3" t="s">
        <v>21</v>
      </c>
      <c r="B14" s="4">
        <v>0.44017094017094016</v>
      </c>
      <c r="C14" s="4">
        <v>0.1687041564792176</v>
      </c>
      <c r="D14" s="4">
        <v>4.790419161676647E-2</v>
      </c>
      <c r="E14" s="4">
        <v>0</v>
      </c>
      <c r="F14" s="4">
        <v>0.20809248554913296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Department × Tenure 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KN</dc:creator>
  <cp:lastModifiedBy>KARTIK KN</cp:lastModifiedBy>
  <dcterms:created xsi:type="dcterms:W3CDTF">2026-08-13T13:49:55Z</dcterms:created>
  <dcterms:modified xsi:type="dcterms:W3CDTF">2026-08-18T15:11:16Z</dcterms:modified>
</cp:coreProperties>
</file>